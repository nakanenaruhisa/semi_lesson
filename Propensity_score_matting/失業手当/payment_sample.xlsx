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a35acd1e075fc6/R/semi_lesson/Propensity_score_matting/"/>
    </mc:Choice>
  </mc:AlternateContent>
  <xr:revisionPtr revIDLastSave="532" documentId="8_{D64283BA-B927-0148-9478-CF9CE76BD685}" xr6:coauthVersionLast="47" xr6:coauthVersionMax="47" xr10:uidLastSave="{11BA26DF-8A71-F846-8E8A-5889ABE675A4}"/>
  <bookViews>
    <workbookView xWindow="3940" yWindow="1460" windowWidth="27900" windowHeight="16960" xr2:uid="{A0B8D263-4970-714F-98F3-5ABED4275BF2}"/>
  </bookViews>
  <sheets>
    <sheet name="payment_sample" sheetId="1" r:id="rId1"/>
    <sheet name="analysis" sheetId="2" r:id="rId2"/>
  </sheets>
  <definedNames>
    <definedName name="_xlnm._FilterDatabase" localSheetId="1" hidden="1">analysis!$A$1:$K$38</definedName>
    <definedName name="_xlnm._FilterDatabase" localSheetId="0" hidden="1">payment_sample!$A$1:$H$31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" l="1"/>
  <c r="E26" i="2" s="1"/>
  <c r="E27" i="1"/>
  <c r="E28" i="1"/>
  <c r="E29" i="1"/>
  <c r="E29" i="2" s="1"/>
  <c r="E30" i="1"/>
  <c r="E30" i="2" s="1"/>
  <c r="E31" i="1"/>
  <c r="E31" i="2" s="1"/>
  <c r="E25" i="1"/>
  <c r="E25" i="2" s="1"/>
  <c r="E24" i="1"/>
  <c r="E24" i="2" s="1"/>
  <c r="E23" i="1"/>
  <c r="E23" i="2" s="1"/>
  <c r="E22" i="1"/>
  <c r="E22" i="2" s="1"/>
  <c r="E21" i="1"/>
  <c r="E21" i="2" s="1"/>
  <c r="E20" i="1"/>
  <c r="E20" i="2" s="1"/>
  <c r="E17" i="1"/>
  <c r="E17" i="2" s="1"/>
  <c r="E13" i="1"/>
  <c r="E13" i="2" s="1"/>
  <c r="E12" i="1"/>
  <c r="E12" i="2" s="1"/>
  <c r="E3" i="1"/>
  <c r="E28" i="2"/>
  <c r="E27" i="2"/>
  <c r="E19" i="1"/>
  <c r="E19" i="2" s="1"/>
  <c r="E18" i="1"/>
  <c r="E18" i="2" s="1"/>
  <c r="E16" i="1"/>
  <c r="E16" i="2" s="1"/>
  <c r="E15" i="1"/>
  <c r="E15" i="2" s="1"/>
  <c r="E14" i="1"/>
  <c r="E14" i="2" s="1"/>
  <c r="E11" i="1"/>
  <c r="E11" i="2" s="1"/>
  <c r="E10" i="1"/>
  <c r="E10" i="2" s="1"/>
  <c r="E9" i="1"/>
  <c r="E9" i="2" s="1"/>
  <c r="E8" i="1"/>
  <c r="E8" i="2" s="1"/>
  <c r="E7" i="1"/>
  <c r="E7" i="2" s="1"/>
  <c r="E6" i="1"/>
  <c r="E6" i="2" s="1"/>
  <c r="E5" i="1"/>
  <c r="E5" i="2" s="1"/>
  <c r="E4" i="1"/>
  <c r="E4" i="2" s="1"/>
  <c r="E2" i="1"/>
  <c r="E2" i="2" s="1"/>
  <c r="D31" i="1"/>
  <c r="D31" i="2" s="1"/>
  <c r="D30" i="1"/>
  <c r="D30" i="2" s="1"/>
  <c r="D29" i="1"/>
  <c r="D29" i="2" s="1"/>
  <c r="D28" i="1"/>
  <c r="D28" i="2" s="1"/>
  <c r="D27" i="1"/>
  <c r="D27" i="2" s="1"/>
  <c r="D26" i="1"/>
  <c r="D26" i="2" s="1"/>
  <c r="D19" i="1"/>
  <c r="D19" i="2" s="1"/>
  <c r="D18" i="1"/>
  <c r="D18" i="2" s="1"/>
  <c r="D16" i="1"/>
  <c r="D16" i="2" s="1"/>
  <c r="D15" i="1"/>
  <c r="D15" i="2" s="1"/>
  <c r="D14" i="1"/>
  <c r="D14" i="2" s="1"/>
  <c r="D11" i="1"/>
  <c r="D11" i="2" s="1"/>
  <c r="D10" i="1"/>
  <c r="D10" i="2" s="1"/>
  <c r="D9" i="1"/>
  <c r="D9" i="2" s="1"/>
  <c r="D8" i="1"/>
  <c r="D8" i="2" s="1"/>
  <c r="D7" i="1"/>
  <c r="D7" i="2" s="1"/>
  <c r="D6" i="1"/>
  <c r="D6" i="2" s="1"/>
  <c r="D5" i="1"/>
  <c r="D5" i="2" s="1"/>
  <c r="D4" i="1"/>
  <c r="D4" i="2" s="1"/>
  <c r="D25" i="1"/>
  <c r="D25" i="2" s="1"/>
  <c r="D24" i="1"/>
  <c r="D24" i="2" s="1"/>
  <c r="D23" i="1"/>
  <c r="D23" i="2" s="1"/>
  <c r="D22" i="1"/>
  <c r="D22" i="2" s="1"/>
  <c r="D21" i="1"/>
  <c r="D21" i="2" s="1"/>
  <c r="D20" i="1"/>
  <c r="D20" i="2" s="1"/>
  <c r="D17" i="1"/>
  <c r="D17" i="2" s="1"/>
  <c r="D13" i="1"/>
  <c r="D13" i="2" s="1"/>
  <c r="D12" i="1"/>
  <c r="D12" i="2" s="1"/>
  <c r="D3" i="1"/>
  <c r="D3" i="2" s="1"/>
  <c r="D2" i="1"/>
  <c r="D2" i="2" s="1"/>
  <c r="L26" i="2"/>
  <c r="L27" i="2"/>
  <c r="L28" i="2"/>
  <c r="L29" i="2"/>
  <c r="L30" i="2"/>
  <c r="L31" i="2"/>
  <c r="K20" i="2"/>
  <c r="K21" i="2"/>
  <c r="K22" i="2"/>
  <c r="K23" i="2"/>
  <c r="K24" i="2"/>
  <c r="K25" i="2"/>
  <c r="J26" i="2"/>
  <c r="J27" i="2"/>
  <c r="J28" i="2"/>
  <c r="J29" i="2"/>
  <c r="J30" i="2"/>
  <c r="J31" i="2"/>
  <c r="I20" i="2"/>
  <c r="I21" i="2"/>
  <c r="I22" i="2"/>
  <c r="I23" i="2"/>
  <c r="I24" i="2"/>
  <c r="I25" i="2"/>
  <c r="C32" i="2"/>
  <c r="B32" i="2"/>
  <c r="K3" i="2"/>
  <c r="J9" i="2"/>
  <c r="I12" i="2"/>
  <c r="L14" i="2"/>
  <c r="J16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" i="2"/>
  <c r="H16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7" i="2"/>
  <c r="H18" i="2"/>
  <c r="H19" i="2"/>
  <c r="H20" i="2"/>
  <c r="H21" i="2"/>
  <c r="H2" i="2"/>
  <c r="J6" i="2"/>
  <c r="E3" i="2" l="1"/>
  <c r="F3" i="2" s="1"/>
  <c r="F14" i="2"/>
  <c r="H32" i="2"/>
  <c r="E32" i="2"/>
  <c r="F4" i="2"/>
  <c r="K4" i="2" s="1"/>
  <c r="F19" i="2"/>
  <c r="K19" i="2" s="1"/>
  <c r="F7" i="2"/>
  <c r="K7" i="2" s="1"/>
  <c r="F20" i="2"/>
  <c r="L20" i="2" s="1"/>
  <c r="F15" i="2"/>
  <c r="K15" i="2" s="1"/>
  <c r="F13" i="2"/>
  <c r="L13" i="2" s="1"/>
  <c r="F5" i="2"/>
  <c r="K5" i="2" s="1"/>
  <c r="F12" i="2"/>
  <c r="F10" i="2"/>
  <c r="K10" i="2" s="1"/>
  <c r="F17" i="2"/>
  <c r="L17" i="2" s="1"/>
  <c r="F9" i="2"/>
  <c r="F16" i="2"/>
  <c r="K16" i="2" s="1"/>
  <c r="F8" i="2"/>
  <c r="K8" i="2" s="1"/>
  <c r="F31" i="2"/>
  <c r="K31" i="2" s="1"/>
  <c r="I31" i="2"/>
  <c r="J23" i="2"/>
  <c r="F23" i="2"/>
  <c r="L23" i="2" s="1"/>
  <c r="F25" i="2"/>
  <c r="L25" i="2" s="1"/>
  <c r="J25" i="2"/>
  <c r="I29" i="2"/>
  <c r="F29" i="2"/>
  <c r="K29" i="2" s="1"/>
  <c r="D32" i="2"/>
  <c r="F21" i="2"/>
  <c r="L21" i="2" s="1"/>
  <c r="I28" i="2"/>
  <c r="F28" i="2"/>
  <c r="K28" i="2" s="1"/>
  <c r="F27" i="2"/>
  <c r="K27" i="2" s="1"/>
  <c r="I27" i="2"/>
  <c r="I11" i="2"/>
  <c r="F11" i="2"/>
  <c r="F26" i="2"/>
  <c r="K26" i="2" s="1"/>
  <c r="I26" i="2"/>
  <c r="F18" i="2"/>
  <c r="I18" i="2"/>
  <c r="J24" i="2"/>
  <c r="F24" i="2"/>
  <c r="L24" i="2" s="1"/>
  <c r="I30" i="2"/>
  <c r="F30" i="2"/>
  <c r="K30" i="2" s="1"/>
  <c r="J22" i="2"/>
  <c r="F22" i="2"/>
  <c r="L22" i="2" s="1"/>
  <c r="F6" i="2"/>
  <c r="I6" i="2"/>
  <c r="F29" i="1"/>
  <c r="F21" i="1"/>
  <c r="F13" i="1"/>
  <c r="F5" i="1"/>
  <c r="F2" i="1"/>
  <c r="F28" i="1"/>
  <c r="F20" i="1"/>
  <c r="F4" i="1"/>
  <c r="F12" i="1"/>
  <c r="F30" i="1"/>
  <c r="F22" i="1"/>
  <c r="F14" i="1"/>
  <c r="F6" i="1"/>
  <c r="F3" i="1"/>
  <c r="F10" i="1"/>
  <c r="F27" i="1"/>
  <c r="F19" i="1"/>
  <c r="F11" i="1"/>
  <c r="F25" i="1"/>
  <c r="F17" i="1"/>
  <c r="F9" i="1"/>
  <c r="F26" i="1"/>
  <c r="F18" i="1"/>
  <c r="F24" i="1"/>
  <c r="F16" i="1"/>
  <c r="F8" i="1"/>
  <c r="F31" i="1"/>
  <c r="F23" i="1"/>
  <c r="F15" i="1"/>
  <c r="F7" i="1"/>
  <c r="G32" i="2"/>
  <c r="J5" i="2"/>
  <c r="J13" i="2"/>
  <c r="I7" i="2"/>
  <c r="J2" i="2"/>
  <c r="J10" i="2"/>
  <c r="J8" i="2"/>
  <c r="I10" i="2"/>
  <c r="J7" i="2"/>
  <c r="I19" i="2"/>
  <c r="J12" i="2"/>
  <c r="L9" i="2"/>
  <c r="I9" i="2"/>
  <c r="J14" i="2"/>
  <c r="J20" i="2"/>
  <c r="J19" i="2"/>
  <c r="J18" i="2"/>
  <c r="I13" i="2"/>
  <c r="J17" i="2"/>
  <c r="J4" i="2"/>
  <c r="L15" i="2"/>
  <c r="I3" i="2"/>
  <c r="I17" i="2"/>
  <c r="K14" i="2"/>
  <c r="J3" i="2"/>
  <c r="L16" i="2"/>
  <c r="J21" i="2"/>
  <c r="I16" i="2"/>
  <c r="I15" i="2"/>
  <c r="I14" i="2"/>
  <c r="J15" i="2"/>
  <c r="J11" i="2"/>
  <c r="I8" i="2"/>
  <c r="I5" i="2"/>
  <c r="I4" i="2"/>
  <c r="K12" i="2"/>
  <c r="L19" i="2"/>
  <c r="K32" i="2" l="1"/>
  <c r="I32" i="2"/>
  <c r="J32" i="2"/>
  <c r="L3" i="2"/>
  <c r="F32" i="2"/>
  <c r="L12" i="2" s="1"/>
  <c r="L11" i="2"/>
  <c r="K11" i="2"/>
  <c r="L18" i="2"/>
  <c r="K18" i="2"/>
  <c r="L6" i="2"/>
  <c r="K6" i="2"/>
  <c r="K9" i="2"/>
  <c r="L10" i="2"/>
  <c r="K13" i="2"/>
  <c r="L7" i="2"/>
  <c r="L8" i="2"/>
  <c r="L5" i="2"/>
  <c r="K17" i="2"/>
  <c r="L4" i="2"/>
  <c r="L2" i="2"/>
  <c r="L32" i="2" l="1"/>
  <c r="F2" i="2"/>
  <c r="K2" i="2" s="1"/>
  <c r="I2" i="2"/>
</calcChain>
</file>

<file path=xl/sharedStrings.xml><?xml version="1.0" encoding="utf-8"?>
<sst xmlns="http://schemas.openxmlformats.org/spreadsheetml/2006/main" count="20" uniqueCount="13">
  <si>
    <t>ID</t>
  </si>
  <si>
    <t>devorce</t>
    <phoneticPr fontId="18"/>
  </si>
  <si>
    <t>payment</t>
    <phoneticPr fontId="18"/>
  </si>
  <si>
    <t>lost_job</t>
    <phoneticPr fontId="18"/>
  </si>
  <si>
    <t>education</t>
    <phoneticPr fontId="18"/>
  </si>
  <si>
    <t>y|t=1</t>
    <phoneticPr fontId="18"/>
  </si>
  <si>
    <t>y|t=0</t>
    <phoneticPr fontId="18"/>
  </si>
  <si>
    <t>income_before</t>
    <phoneticPr fontId="18"/>
  </si>
  <si>
    <t>income_after</t>
    <phoneticPr fontId="18"/>
  </si>
  <si>
    <t>gap_income</t>
    <phoneticPr fontId="18"/>
  </si>
  <si>
    <t>y=1|b</t>
    <phoneticPr fontId="18"/>
  </si>
  <si>
    <t>y=0|b</t>
    <phoneticPr fontId="18"/>
  </si>
  <si>
    <t>treatment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</si>
</sst>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B3618-0157-614B-9909-FC6B833A5CC7}">
  <dimension ref="A1:H31"/>
  <sheetViews>
    <sheetView tabSelected="1" workbookViewId="0">
      <selection activeCell="H22" sqref="H22"/>
    </sheetView>
  </sheetViews>
  <sheetFormatPr baseColWidth="10" defaultRowHeight="20"/>
  <cols>
    <col min="4" max="4" width="15.7109375" bestFit="1" customWidth="1"/>
    <col min="5" max="5" width="14.140625" bestFit="1" customWidth="1"/>
    <col min="6" max="6" width="13.42578125" bestFit="1" customWidth="1"/>
    <col min="7" max="7" width="10.140625" bestFit="1" customWidth="1"/>
    <col min="8" max="8" width="11.7109375" bestFit="1" customWidth="1"/>
  </cols>
  <sheetData>
    <row r="1" spans="1:8">
      <c r="A1" t="s">
        <v>0</v>
      </c>
      <c r="B1" t="s">
        <v>1</v>
      </c>
      <c r="C1" t="s">
        <v>2</v>
      </c>
      <c r="D1" t="s">
        <v>7</v>
      </c>
      <c r="E1" t="s">
        <v>8</v>
      </c>
      <c r="F1" t="s">
        <v>9</v>
      </c>
      <c r="G1" t="s">
        <v>3</v>
      </c>
      <c r="H1" t="s">
        <v>4</v>
      </c>
    </row>
    <row r="2" spans="1:8">
      <c r="A2">
        <v>1</v>
      </c>
      <c r="B2">
        <v>0</v>
      </c>
      <c r="C2">
        <v>1</v>
      </c>
      <c r="D2">
        <f ca="1">RANDBETWEEN(100,250)</f>
        <v>112</v>
      </c>
      <c r="E2">
        <f ca="1">RANDBETWEEN(90,240)</f>
        <v>186</v>
      </c>
      <c r="F2">
        <f ca="1">E2-D2+RANDBETWEEN(-100,50)</f>
        <v>67</v>
      </c>
      <c r="G2">
        <v>0</v>
      </c>
      <c r="H2">
        <v>14</v>
      </c>
    </row>
    <row r="3" spans="1:8">
      <c r="A3">
        <v>2</v>
      </c>
      <c r="B3">
        <v>1</v>
      </c>
      <c r="C3">
        <v>0</v>
      </c>
      <c r="D3">
        <f t="shared" ref="D3:D25" ca="1" si="0">RANDBETWEEN(180,350)</f>
        <v>337</v>
      </c>
      <c r="E3">
        <f ca="1">RANDBETWEEN(160,370)</f>
        <v>176</v>
      </c>
      <c r="F3">
        <f t="shared" ref="F3:F31" ca="1" si="1">E3-D3</f>
        <v>-161</v>
      </c>
      <c r="G3">
        <v>1</v>
      </c>
      <c r="H3">
        <v>12</v>
      </c>
    </row>
    <row r="4" spans="1:8">
      <c r="A4">
        <v>3</v>
      </c>
      <c r="B4">
        <v>0</v>
      </c>
      <c r="C4">
        <v>1</v>
      </c>
      <c r="D4">
        <f t="shared" ref="D4:D11" ca="1" si="2">RANDBETWEEN(100,250)</f>
        <v>230</v>
      </c>
      <c r="E4">
        <f t="shared" ref="E4:E11" ca="1" si="3">RANDBETWEEN(90,240)</f>
        <v>127</v>
      </c>
      <c r="F4">
        <f t="shared" ca="1" si="1"/>
        <v>-103</v>
      </c>
      <c r="G4">
        <v>0</v>
      </c>
      <c r="H4">
        <v>12</v>
      </c>
    </row>
    <row r="5" spans="1:8">
      <c r="A5">
        <v>4</v>
      </c>
      <c r="B5">
        <v>0</v>
      </c>
      <c r="C5">
        <v>1</v>
      </c>
      <c r="D5">
        <f t="shared" ca="1" si="2"/>
        <v>216</v>
      </c>
      <c r="E5">
        <f t="shared" ca="1" si="3"/>
        <v>156</v>
      </c>
      <c r="F5">
        <f t="shared" ca="1" si="1"/>
        <v>-60</v>
      </c>
      <c r="G5">
        <v>1</v>
      </c>
      <c r="H5">
        <v>9</v>
      </c>
    </row>
    <row r="6" spans="1:8">
      <c r="A6">
        <v>5</v>
      </c>
      <c r="B6">
        <v>0</v>
      </c>
      <c r="C6">
        <v>1</v>
      </c>
      <c r="D6">
        <f t="shared" ca="1" si="2"/>
        <v>124</v>
      </c>
      <c r="E6">
        <f t="shared" ca="1" si="3"/>
        <v>215</v>
      </c>
      <c r="F6">
        <f t="shared" ca="1" si="1"/>
        <v>91</v>
      </c>
      <c r="G6">
        <v>0</v>
      </c>
      <c r="H6">
        <v>12</v>
      </c>
    </row>
    <row r="7" spans="1:8">
      <c r="A7">
        <v>6</v>
      </c>
      <c r="B7">
        <v>0</v>
      </c>
      <c r="C7">
        <v>1</v>
      </c>
      <c r="D7">
        <f t="shared" ca="1" si="2"/>
        <v>130</v>
      </c>
      <c r="E7">
        <f t="shared" ca="1" si="3"/>
        <v>125</v>
      </c>
      <c r="F7">
        <f t="shared" ca="1" si="1"/>
        <v>-5</v>
      </c>
      <c r="G7">
        <v>0</v>
      </c>
      <c r="H7">
        <v>12</v>
      </c>
    </row>
    <row r="8" spans="1:8">
      <c r="A8">
        <v>7</v>
      </c>
      <c r="B8">
        <v>0</v>
      </c>
      <c r="C8">
        <v>1</v>
      </c>
      <c r="D8">
        <f t="shared" ca="1" si="2"/>
        <v>169</v>
      </c>
      <c r="E8">
        <f t="shared" ca="1" si="3"/>
        <v>206</v>
      </c>
      <c r="F8">
        <f t="shared" ca="1" si="1"/>
        <v>37</v>
      </c>
      <c r="G8">
        <v>1</v>
      </c>
      <c r="H8">
        <v>9</v>
      </c>
    </row>
    <row r="9" spans="1:8">
      <c r="A9">
        <v>8</v>
      </c>
      <c r="B9">
        <v>0</v>
      </c>
      <c r="C9">
        <v>1</v>
      </c>
      <c r="D9">
        <f t="shared" ca="1" si="2"/>
        <v>235</v>
      </c>
      <c r="E9">
        <f t="shared" ca="1" si="3"/>
        <v>166</v>
      </c>
      <c r="F9">
        <f t="shared" ca="1" si="1"/>
        <v>-69</v>
      </c>
      <c r="G9">
        <v>0</v>
      </c>
      <c r="H9">
        <v>12</v>
      </c>
    </row>
    <row r="10" spans="1:8">
      <c r="A10">
        <v>9</v>
      </c>
      <c r="B10">
        <v>0</v>
      </c>
      <c r="C10">
        <v>1</v>
      </c>
      <c r="D10">
        <f t="shared" ca="1" si="2"/>
        <v>182</v>
      </c>
      <c r="E10">
        <f t="shared" ca="1" si="3"/>
        <v>223</v>
      </c>
      <c r="F10">
        <f t="shared" ca="1" si="1"/>
        <v>41</v>
      </c>
      <c r="G10">
        <v>0</v>
      </c>
      <c r="H10">
        <v>12</v>
      </c>
    </row>
    <row r="11" spans="1:8">
      <c r="A11">
        <v>10</v>
      </c>
      <c r="B11">
        <v>1</v>
      </c>
      <c r="C11">
        <v>1</v>
      </c>
      <c r="D11">
        <f t="shared" ca="1" si="2"/>
        <v>198</v>
      </c>
      <c r="E11">
        <f t="shared" ca="1" si="3"/>
        <v>202</v>
      </c>
      <c r="F11">
        <f t="shared" ca="1" si="1"/>
        <v>4</v>
      </c>
      <c r="G11">
        <v>0</v>
      </c>
      <c r="H11">
        <v>12</v>
      </c>
    </row>
    <row r="12" spans="1:8">
      <c r="A12">
        <v>11</v>
      </c>
      <c r="B12">
        <v>0</v>
      </c>
      <c r="C12">
        <v>0</v>
      </c>
      <c r="D12">
        <f t="shared" ca="1" si="0"/>
        <v>201</v>
      </c>
      <c r="E12">
        <f t="shared" ref="E12:E13" ca="1" si="4">RANDBETWEEN(160,370)</f>
        <v>336</v>
      </c>
      <c r="F12">
        <f t="shared" ca="1" si="1"/>
        <v>135</v>
      </c>
      <c r="G12">
        <v>1</v>
      </c>
      <c r="H12">
        <v>12</v>
      </c>
    </row>
    <row r="13" spans="1:8">
      <c r="A13">
        <v>12</v>
      </c>
      <c r="B13">
        <v>0</v>
      </c>
      <c r="C13">
        <v>0</v>
      </c>
      <c r="D13">
        <f t="shared" ca="1" si="0"/>
        <v>203</v>
      </c>
      <c r="E13">
        <f t="shared" ca="1" si="4"/>
        <v>338</v>
      </c>
      <c r="F13">
        <f t="shared" ca="1" si="1"/>
        <v>135</v>
      </c>
      <c r="G13">
        <v>1</v>
      </c>
      <c r="H13">
        <v>16</v>
      </c>
    </row>
    <row r="14" spans="1:8">
      <c r="A14">
        <v>13</v>
      </c>
      <c r="B14">
        <v>0</v>
      </c>
      <c r="C14">
        <v>1</v>
      </c>
      <c r="D14">
        <f t="shared" ref="D14:D16" ca="1" si="5">RANDBETWEEN(100,250)</f>
        <v>113</v>
      </c>
      <c r="E14">
        <f t="shared" ref="E14:E16" ca="1" si="6">RANDBETWEEN(90,240)</f>
        <v>230</v>
      </c>
      <c r="F14">
        <f t="shared" ca="1" si="1"/>
        <v>117</v>
      </c>
      <c r="G14">
        <v>0</v>
      </c>
      <c r="H14">
        <v>12</v>
      </c>
    </row>
    <row r="15" spans="1:8">
      <c r="A15">
        <v>14</v>
      </c>
      <c r="B15">
        <v>0</v>
      </c>
      <c r="C15">
        <v>1</v>
      </c>
      <c r="D15">
        <f t="shared" ca="1" si="5"/>
        <v>176</v>
      </c>
      <c r="E15">
        <f t="shared" ca="1" si="6"/>
        <v>136</v>
      </c>
      <c r="F15">
        <f t="shared" ca="1" si="1"/>
        <v>-40</v>
      </c>
      <c r="G15">
        <v>0</v>
      </c>
      <c r="H15">
        <v>12</v>
      </c>
    </row>
    <row r="16" spans="1:8">
      <c r="A16">
        <v>15</v>
      </c>
      <c r="B16">
        <v>1</v>
      </c>
      <c r="C16">
        <v>1</v>
      </c>
      <c r="D16">
        <f t="shared" ca="1" si="5"/>
        <v>192</v>
      </c>
      <c r="E16">
        <f t="shared" ca="1" si="6"/>
        <v>190</v>
      </c>
      <c r="F16">
        <f t="shared" ca="1" si="1"/>
        <v>-2</v>
      </c>
      <c r="G16">
        <v>1</v>
      </c>
      <c r="H16">
        <v>16</v>
      </c>
    </row>
    <row r="17" spans="1:8">
      <c r="A17">
        <v>16</v>
      </c>
      <c r="B17">
        <v>0</v>
      </c>
      <c r="C17">
        <v>0</v>
      </c>
      <c r="D17">
        <f t="shared" ca="1" si="0"/>
        <v>261</v>
      </c>
      <c r="E17">
        <f ca="1">RANDBETWEEN(160,370)</f>
        <v>325</v>
      </c>
      <c r="F17">
        <f t="shared" ca="1" si="1"/>
        <v>64</v>
      </c>
      <c r="G17">
        <v>1</v>
      </c>
      <c r="H17">
        <v>18</v>
      </c>
    </row>
    <row r="18" spans="1:8">
      <c r="A18">
        <v>17</v>
      </c>
      <c r="B18">
        <v>1</v>
      </c>
      <c r="C18">
        <v>1</v>
      </c>
      <c r="D18">
        <f t="shared" ref="D18:D19" ca="1" si="7">RANDBETWEEN(100,250)</f>
        <v>182</v>
      </c>
      <c r="E18">
        <f t="shared" ref="E18:E19" ca="1" si="8">RANDBETWEEN(90,240)</f>
        <v>214</v>
      </c>
      <c r="F18">
        <f t="shared" ca="1" si="1"/>
        <v>32</v>
      </c>
      <c r="G18">
        <v>1</v>
      </c>
      <c r="H18">
        <v>16</v>
      </c>
    </row>
    <row r="19" spans="1:8">
      <c r="A19">
        <v>18</v>
      </c>
      <c r="B19">
        <v>0</v>
      </c>
      <c r="C19">
        <v>1</v>
      </c>
      <c r="D19">
        <f t="shared" ca="1" si="7"/>
        <v>120</v>
      </c>
      <c r="E19">
        <f t="shared" ca="1" si="8"/>
        <v>182</v>
      </c>
      <c r="F19">
        <f t="shared" ca="1" si="1"/>
        <v>62</v>
      </c>
      <c r="G19">
        <v>0</v>
      </c>
      <c r="H19">
        <v>9</v>
      </c>
    </row>
    <row r="20" spans="1:8">
      <c r="A20">
        <v>19</v>
      </c>
      <c r="B20">
        <v>1</v>
      </c>
      <c r="C20">
        <v>0</v>
      </c>
      <c r="D20">
        <f t="shared" ca="1" si="0"/>
        <v>324</v>
      </c>
      <c r="E20">
        <f t="shared" ref="E20:E25" ca="1" si="9">RANDBETWEEN(160,370)</f>
        <v>209</v>
      </c>
      <c r="F20">
        <f t="shared" ca="1" si="1"/>
        <v>-115</v>
      </c>
      <c r="G20">
        <v>1</v>
      </c>
      <c r="H20">
        <v>12</v>
      </c>
    </row>
    <row r="21" spans="1:8">
      <c r="A21">
        <v>20</v>
      </c>
      <c r="B21">
        <v>0</v>
      </c>
      <c r="C21">
        <v>0</v>
      </c>
      <c r="D21">
        <f t="shared" ca="1" si="0"/>
        <v>241</v>
      </c>
      <c r="E21">
        <f t="shared" ca="1" si="9"/>
        <v>257</v>
      </c>
      <c r="F21">
        <f t="shared" ca="1" si="1"/>
        <v>16</v>
      </c>
      <c r="G21">
        <v>0</v>
      </c>
      <c r="H21">
        <v>12</v>
      </c>
    </row>
    <row r="22" spans="1:8">
      <c r="A22">
        <v>21</v>
      </c>
      <c r="B22">
        <v>0</v>
      </c>
      <c r="C22">
        <v>0</v>
      </c>
      <c r="D22">
        <f t="shared" ca="1" si="0"/>
        <v>311</v>
      </c>
      <c r="E22">
        <f t="shared" ca="1" si="9"/>
        <v>347</v>
      </c>
      <c r="F22">
        <f t="shared" ca="1" si="1"/>
        <v>36</v>
      </c>
      <c r="G22">
        <v>0</v>
      </c>
      <c r="H22">
        <v>16</v>
      </c>
    </row>
    <row r="23" spans="1:8">
      <c r="A23">
        <v>22</v>
      </c>
      <c r="B23">
        <v>0</v>
      </c>
      <c r="C23">
        <v>0</v>
      </c>
      <c r="D23">
        <f t="shared" ca="1" si="0"/>
        <v>321</v>
      </c>
      <c r="E23">
        <f t="shared" ca="1" si="9"/>
        <v>340</v>
      </c>
      <c r="F23">
        <f t="shared" ca="1" si="1"/>
        <v>19</v>
      </c>
      <c r="G23">
        <v>0</v>
      </c>
      <c r="H23">
        <v>16</v>
      </c>
    </row>
    <row r="24" spans="1:8">
      <c r="A24">
        <v>23</v>
      </c>
      <c r="B24">
        <v>0</v>
      </c>
      <c r="C24">
        <v>0</v>
      </c>
      <c r="D24">
        <f t="shared" ca="1" si="0"/>
        <v>264</v>
      </c>
      <c r="E24">
        <f t="shared" ca="1" si="9"/>
        <v>181</v>
      </c>
      <c r="F24">
        <f t="shared" ca="1" si="1"/>
        <v>-83</v>
      </c>
      <c r="G24">
        <v>0</v>
      </c>
      <c r="H24">
        <v>16</v>
      </c>
    </row>
    <row r="25" spans="1:8">
      <c r="A25">
        <v>24</v>
      </c>
      <c r="B25">
        <v>0</v>
      </c>
      <c r="C25">
        <v>0</v>
      </c>
      <c r="D25">
        <f t="shared" ca="1" si="0"/>
        <v>205</v>
      </c>
      <c r="E25">
        <f t="shared" ca="1" si="9"/>
        <v>275</v>
      </c>
      <c r="F25">
        <f t="shared" ca="1" si="1"/>
        <v>70</v>
      </c>
      <c r="G25">
        <v>1</v>
      </c>
      <c r="H25">
        <v>12</v>
      </c>
    </row>
    <row r="26" spans="1:8">
      <c r="A26">
        <v>25</v>
      </c>
      <c r="B26">
        <v>0</v>
      </c>
      <c r="C26">
        <v>1</v>
      </c>
      <c r="D26">
        <f t="shared" ref="D26:D31" ca="1" si="10">RANDBETWEEN(100,250)</f>
        <v>186</v>
      </c>
      <c r="E26">
        <f ca="1">RANDBETWEEN(160,370)</f>
        <v>206</v>
      </c>
      <c r="F26">
        <f t="shared" ca="1" si="1"/>
        <v>20</v>
      </c>
      <c r="G26">
        <v>1</v>
      </c>
      <c r="H26">
        <v>12</v>
      </c>
    </row>
    <row r="27" spans="1:8">
      <c r="A27">
        <v>26</v>
      </c>
      <c r="B27">
        <v>0</v>
      </c>
      <c r="C27">
        <v>1</v>
      </c>
      <c r="D27">
        <f t="shared" ca="1" si="10"/>
        <v>124</v>
      </c>
      <c r="E27">
        <f t="shared" ref="E27:E31" ca="1" si="11">RANDBETWEEN(90,240)</f>
        <v>109</v>
      </c>
      <c r="F27">
        <f t="shared" ca="1" si="1"/>
        <v>-15</v>
      </c>
      <c r="G27">
        <v>1</v>
      </c>
      <c r="H27">
        <v>12</v>
      </c>
    </row>
    <row r="28" spans="1:8">
      <c r="A28">
        <v>27</v>
      </c>
      <c r="B28">
        <v>0</v>
      </c>
      <c r="C28">
        <v>1</v>
      </c>
      <c r="D28">
        <f t="shared" ca="1" si="10"/>
        <v>247</v>
      </c>
      <c r="E28">
        <f t="shared" ca="1" si="11"/>
        <v>109</v>
      </c>
      <c r="F28">
        <f t="shared" ca="1" si="1"/>
        <v>-138</v>
      </c>
      <c r="G28">
        <v>1</v>
      </c>
      <c r="H28">
        <v>9</v>
      </c>
    </row>
    <row r="29" spans="1:8">
      <c r="A29">
        <v>28</v>
      </c>
      <c r="B29">
        <v>0</v>
      </c>
      <c r="C29">
        <v>1</v>
      </c>
      <c r="D29">
        <f t="shared" ca="1" si="10"/>
        <v>100</v>
      </c>
      <c r="E29">
        <f t="shared" ca="1" si="11"/>
        <v>142</v>
      </c>
      <c r="F29">
        <f t="shared" ca="1" si="1"/>
        <v>42</v>
      </c>
      <c r="G29">
        <v>0</v>
      </c>
      <c r="H29">
        <v>12</v>
      </c>
    </row>
    <row r="30" spans="1:8">
      <c r="A30">
        <v>29</v>
      </c>
      <c r="B30">
        <v>0</v>
      </c>
      <c r="C30">
        <v>1</v>
      </c>
      <c r="D30">
        <f t="shared" ca="1" si="10"/>
        <v>176</v>
      </c>
      <c r="E30">
        <f t="shared" ca="1" si="11"/>
        <v>209</v>
      </c>
      <c r="F30">
        <f t="shared" ca="1" si="1"/>
        <v>33</v>
      </c>
      <c r="G30">
        <v>0</v>
      </c>
      <c r="H30">
        <v>12</v>
      </c>
    </row>
    <row r="31" spans="1:8">
      <c r="A31">
        <v>30</v>
      </c>
      <c r="B31">
        <v>0</v>
      </c>
      <c r="C31">
        <v>1</v>
      </c>
      <c r="D31">
        <f t="shared" ca="1" si="10"/>
        <v>188</v>
      </c>
      <c r="E31">
        <f t="shared" ca="1" si="11"/>
        <v>144</v>
      </c>
      <c r="F31">
        <f t="shared" ca="1" si="1"/>
        <v>-44</v>
      </c>
      <c r="G31">
        <v>0</v>
      </c>
      <c r="H31">
        <v>12</v>
      </c>
    </row>
  </sheetData>
  <autoFilter ref="A1:H31" xr:uid="{F2AB3618-0157-614B-9909-FC6B833A5CC7}">
    <sortState xmlns:xlrd2="http://schemas.microsoft.com/office/spreadsheetml/2017/richdata2" ref="A2:H31">
      <sortCondition ref="A1:A31"/>
    </sortState>
  </autoFilter>
  <phoneticPr fontId="1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1E9B9-653D-D545-9380-F4FB74FD47F3}">
  <dimension ref="A1:L32"/>
  <sheetViews>
    <sheetView topLeftCell="A4" workbookViewId="0">
      <selection activeCell="L33" sqref="L33"/>
    </sheetView>
  </sheetViews>
  <sheetFormatPr baseColWidth="10" defaultRowHeight="20"/>
  <cols>
    <col min="4" max="4" width="15.7109375" customWidth="1"/>
    <col min="5" max="5" width="14.140625" bestFit="1" customWidth="1"/>
    <col min="6" max="6" width="13.42578125" bestFit="1" customWidth="1"/>
    <col min="7" max="7" width="10.140625" bestFit="1" customWidth="1"/>
    <col min="8" max="8" width="11.7109375" bestFit="1" customWidth="1"/>
    <col min="9" max="9" width="11.7109375" customWidth="1"/>
    <col min="10" max="10" width="8.7109375" bestFit="1" customWidth="1"/>
    <col min="11" max="11" width="8.28515625" bestFit="1" customWidth="1"/>
    <col min="12" max="12" width="7.42578125" bestFit="1" customWidth="1"/>
  </cols>
  <sheetData>
    <row r="1" spans="1:12">
      <c r="A1" t="s">
        <v>0</v>
      </c>
      <c r="B1" t="s">
        <v>1</v>
      </c>
      <c r="C1" t="s">
        <v>12</v>
      </c>
      <c r="D1" t="s">
        <v>7</v>
      </c>
      <c r="E1" t="s">
        <v>8</v>
      </c>
      <c r="F1" t="s">
        <v>9</v>
      </c>
      <c r="G1" t="s">
        <v>3</v>
      </c>
      <c r="H1" t="s">
        <v>4</v>
      </c>
      <c r="I1" t="s">
        <v>10</v>
      </c>
      <c r="J1" t="s">
        <v>11</v>
      </c>
      <c r="K1" t="s">
        <v>5</v>
      </c>
      <c r="L1" t="s">
        <v>6</v>
      </c>
    </row>
    <row r="2" spans="1:12">
      <c r="A2">
        <v>1</v>
      </c>
      <c r="B2">
        <v>0</v>
      </c>
      <c r="C2">
        <v>1</v>
      </c>
      <c r="D2">
        <f ca="1">payment_sample!D2</f>
        <v>112</v>
      </c>
      <c r="E2">
        <f ca="1">payment_sample!E2</f>
        <v>186</v>
      </c>
      <c r="F2">
        <f t="shared" ref="F2:F31" ca="1" si="0">E2-D2</f>
        <v>74</v>
      </c>
      <c r="G2">
        <f>payment_sample!G2</f>
        <v>0</v>
      </c>
      <c r="H2">
        <f>payment_sample!H2</f>
        <v>14</v>
      </c>
      <c r="I2">
        <f t="shared" ref="I2:I31" ca="1" si="1">IF(C2=1,D2,"")</f>
        <v>112</v>
      </c>
      <c r="J2" t="str">
        <f t="shared" ref="J2:J31" si="2">IF(C2=0,D2,"")</f>
        <v/>
      </c>
      <c r="K2">
        <f t="shared" ref="K2:K31" ca="1" si="3">IF(C2=1,F2,"")</f>
        <v>74</v>
      </c>
      <c r="L2" t="str">
        <f t="shared" ref="L2:L20" si="4">IF(C2=0,F2,"")</f>
        <v/>
      </c>
    </row>
    <row r="3" spans="1:12">
      <c r="A3">
        <v>2</v>
      </c>
      <c r="B3">
        <v>1</v>
      </c>
      <c r="C3">
        <v>0</v>
      </c>
      <c r="D3">
        <f ca="1">payment_sample!D3</f>
        <v>337</v>
      </c>
      <c r="E3">
        <f ca="1">payment_sample!E3</f>
        <v>176</v>
      </c>
      <c r="F3">
        <f t="shared" ca="1" si="0"/>
        <v>-161</v>
      </c>
      <c r="G3">
        <f>payment_sample!G3</f>
        <v>1</v>
      </c>
      <c r="H3">
        <f>payment_sample!H3</f>
        <v>12</v>
      </c>
      <c r="I3" t="str">
        <f t="shared" si="1"/>
        <v/>
      </c>
      <c r="J3">
        <f t="shared" ca="1" si="2"/>
        <v>337</v>
      </c>
      <c r="K3" t="str">
        <f t="shared" si="3"/>
        <v/>
      </c>
      <c r="L3">
        <f t="shared" ca="1" si="4"/>
        <v>-161</v>
      </c>
    </row>
    <row r="4" spans="1:12">
      <c r="A4">
        <v>3</v>
      </c>
      <c r="B4">
        <v>0</v>
      </c>
      <c r="C4">
        <v>1</v>
      </c>
      <c r="D4">
        <f ca="1">payment_sample!D4</f>
        <v>230</v>
      </c>
      <c r="E4">
        <f ca="1">payment_sample!E4</f>
        <v>127</v>
      </c>
      <c r="F4">
        <f t="shared" ca="1" si="0"/>
        <v>-103</v>
      </c>
      <c r="G4">
        <f>payment_sample!G4</f>
        <v>0</v>
      </c>
      <c r="H4">
        <f>payment_sample!H4</f>
        <v>12</v>
      </c>
      <c r="I4">
        <f t="shared" ca="1" si="1"/>
        <v>230</v>
      </c>
      <c r="J4" t="str">
        <f t="shared" si="2"/>
        <v/>
      </c>
      <c r="K4">
        <f t="shared" ca="1" si="3"/>
        <v>-103</v>
      </c>
      <c r="L4" t="str">
        <f t="shared" si="4"/>
        <v/>
      </c>
    </row>
    <row r="5" spans="1:12">
      <c r="A5">
        <v>4</v>
      </c>
      <c r="B5">
        <v>0</v>
      </c>
      <c r="C5">
        <v>1</v>
      </c>
      <c r="D5">
        <f ca="1">payment_sample!D5</f>
        <v>216</v>
      </c>
      <c r="E5">
        <f ca="1">payment_sample!E5</f>
        <v>156</v>
      </c>
      <c r="F5">
        <f t="shared" ca="1" si="0"/>
        <v>-60</v>
      </c>
      <c r="G5">
        <f>payment_sample!G5</f>
        <v>1</v>
      </c>
      <c r="H5">
        <f>payment_sample!H5</f>
        <v>9</v>
      </c>
      <c r="I5">
        <f t="shared" ca="1" si="1"/>
        <v>216</v>
      </c>
      <c r="J5" t="str">
        <f t="shared" si="2"/>
        <v/>
      </c>
      <c r="K5">
        <f t="shared" ca="1" si="3"/>
        <v>-60</v>
      </c>
      <c r="L5" t="str">
        <f t="shared" si="4"/>
        <v/>
      </c>
    </row>
    <row r="6" spans="1:12">
      <c r="A6">
        <v>5</v>
      </c>
      <c r="B6">
        <v>0</v>
      </c>
      <c r="C6">
        <v>1</v>
      </c>
      <c r="D6">
        <f ca="1">payment_sample!D6</f>
        <v>124</v>
      </c>
      <c r="E6">
        <f ca="1">payment_sample!E6</f>
        <v>215</v>
      </c>
      <c r="F6">
        <f t="shared" ca="1" si="0"/>
        <v>91</v>
      </c>
      <c r="G6">
        <f>payment_sample!G6</f>
        <v>0</v>
      </c>
      <c r="H6">
        <f>payment_sample!H6</f>
        <v>12</v>
      </c>
      <c r="I6">
        <f t="shared" ca="1" si="1"/>
        <v>124</v>
      </c>
      <c r="J6" t="str">
        <f t="shared" si="2"/>
        <v/>
      </c>
      <c r="K6">
        <f t="shared" ca="1" si="3"/>
        <v>91</v>
      </c>
      <c r="L6" t="str">
        <f t="shared" si="4"/>
        <v/>
      </c>
    </row>
    <row r="7" spans="1:12">
      <c r="A7">
        <v>6</v>
      </c>
      <c r="B7">
        <v>0</v>
      </c>
      <c r="C7">
        <v>1</v>
      </c>
      <c r="D7">
        <f ca="1">payment_sample!D7</f>
        <v>130</v>
      </c>
      <c r="E7">
        <f ca="1">payment_sample!E7</f>
        <v>125</v>
      </c>
      <c r="F7">
        <f t="shared" ca="1" si="0"/>
        <v>-5</v>
      </c>
      <c r="G7">
        <f>payment_sample!G7</f>
        <v>0</v>
      </c>
      <c r="H7">
        <f>payment_sample!H7</f>
        <v>12</v>
      </c>
      <c r="I7">
        <f t="shared" ca="1" si="1"/>
        <v>130</v>
      </c>
      <c r="J7" t="str">
        <f t="shared" si="2"/>
        <v/>
      </c>
      <c r="K7">
        <f t="shared" ca="1" si="3"/>
        <v>-5</v>
      </c>
      <c r="L7" t="str">
        <f t="shared" si="4"/>
        <v/>
      </c>
    </row>
    <row r="8" spans="1:12">
      <c r="A8">
        <v>7</v>
      </c>
      <c r="B8">
        <v>0</v>
      </c>
      <c r="C8">
        <v>1</v>
      </c>
      <c r="D8">
        <f ca="1">payment_sample!D8</f>
        <v>169</v>
      </c>
      <c r="E8">
        <f ca="1">payment_sample!E8</f>
        <v>206</v>
      </c>
      <c r="F8">
        <f t="shared" ca="1" si="0"/>
        <v>37</v>
      </c>
      <c r="G8">
        <f>payment_sample!G8</f>
        <v>1</v>
      </c>
      <c r="H8">
        <f>payment_sample!H8</f>
        <v>9</v>
      </c>
      <c r="I8">
        <f t="shared" ca="1" si="1"/>
        <v>169</v>
      </c>
      <c r="J8" t="str">
        <f t="shared" si="2"/>
        <v/>
      </c>
      <c r="K8">
        <f t="shared" ca="1" si="3"/>
        <v>37</v>
      </c>
      <c r="L8" t="str">
        <f t="shared" si="4"/>
        <v/>
      </c>
    </row>
    <row r="9" spans="1:12">
      <c r="A9">
        <v>8</v>
      </c>
      <c r="B9">
        <v>0</v>
      </c>
      <c r="C9">
        <v>1</v>
      </c>
      <c r="D9">
        <f ca="1">payment_sample!D9</f>
        <v>235</v>
      </c>
      <c r="E9">
        <f ca="1">payment_sample!E9</f>
        <v>166</v>
      </c>
      <c r="F9">
        <f t="shared" ca="1" si="0"/>
        <v>-69</v>
      </c>
      <c r="G9">
        <f>payment_sample!G9</f>
        <v>0</v>
      </c>
      <c r="H9">
        <f>payment_sample!H9</f>
        <v>12</v>
      </c>
      <c r="I9">
        <f t="shared" ca="1" si="1"/>
        <v>235</v>
      </c>
      <c r="J9" t="str">
        <f t="shared" si="2"/>
        <v/>
      </c>
      <c r="K9">
        <f t="shared" ca="1" si="3"/>
        <v>-69</v>
      </c>
      <c r="L9" t="str">
        <f t="shared" si="4"/>
        <v/>
      </c>
    </row>
    <row r="10" spans="1:12">
      <c r="A10">
        <v>9</v>
      </c>
      <c r="B10">
        <v>0</v>
      </c>
      <c r="C10">
        <v>1</v>
      </c>
      <c r="D10">
        <f ca="1">payment_sample!D10</f>
        <v>182</v>
      </c>
      <c r="E10">
        <f ca="1">payment_sample!E10</f>
        <v>223</v>
      </c>
      <c r="F10">
        <f t="shared" ca="1" si="0"/>
        <v>41</v>
      </c>
      <c r="G10">
        <f>payment_sample!G10</f>
        <v>0</v>
      </c>
      <c r="H10">
        <f>payment_sample!H10</f>
        <v>12</v>
      </c>
      <c r="I10">
        <f t="shared" ca="1" si="1"/>
        <v>182</v>
      </c>
      <c r="J10" t="str">
        <f t="shared" si="2"/>
        <v/>
      </c>
      <c r="K10">
        <f t="shared" ca="1" si="3"/>
        <v>41</v>
      </c>
      <c r="L10" t="str">
        <f t="shared" si="4"/>
        <v/>
      </c>
    </row>
    <row r="11" spans="1:12">
      <c r="A11">
        <v>10</v>
      </c>
      <c r="B11">
        <v>1</v>
      </c>
      <c r="C11">
        <v>1</v>
      </c>
      <c r="D11">
        <f ca="1">payment_sample!D11</f>
        <v>198</v>
      </c>
      <c r="E11">
        <f ca="1">payment_sample!E11</f>
        <v>202</v>
      </c>
      <c r="F11">
        <f t="shared" ca="1" si="0"/>
        <v>4</v>
      </c>
      <c r="G11">
        <f>payment_sample!G11</f>
        <v>0</v>
      </c>
      <c r="H11">
        <f>payment_sample!H11</f>
        <v>12</v>
      </c>
      <c r="I11">
        <f t="shared" ca="1" si="1"/>
        <v>198</v>
      </c>
      <c r="J11" t="str">
        <f t="shared" si="2"/>
        <v/>
      </c>
      <c r="K11">
        <f t="shared" ca="1" si="3"/>
        <v>4</v>
      </c>
      <c r="L11" t="str">
        <f t="shared" si="4"/>
        <v/>
      </c>
    </row>
    <row r="12" spans="1:12">
      <c r="A12">
        <v>11</v>
      </c>
      <c r="B12">
        <v>0</v>
      </c>
      <c r="C12">
        <v>0</v>
      </c>
      <c r="D12">
        <f ca="1">payment_sample!D12</f>
        <v>201</v>
      </c>
      <c r="E12">
        <f ca="1">payment_sample!E12</f>
        <v>336</v>
      </c>
      <c r="F12">
        <f t="shared" ca="1" si="0"/>
        <v>135</v>
      </c>
      <c r="G12">
        <f>payment_sample!G12</f>
        <v>1</v>
      </c>
      <c r="H12">
        <f>payment_sample!H12</f>
        <v>12</v>
      </c>
      <c r="I12" t="str">
        <f t="shared" si="1"/>
        <v/>
      </c>
      <c r="J12">
        <f t="shared" ca="1" si="2"/>
        <v>201</v>
      </c>
      <c r="K12" t="str">
        <f t="shared" si="3"/>
        <v/>
      </c>
      <c r="L12">
        <f t="shared" ca="1" si="4"/>
        <v>135</v>
      </c>
    </row>
    <row r="13" spans="1:12">
      <c r="A13">
        <v>12</v>
      </c>
      <c r="B13">
        <v>0</v>
      </c>
      <c r="C13">
        <v>0</v>
      </c>
      <c r="D13">
        <f ca="1">payment_sample!D13</f>
        <v>203</v>
      </c>
      <c r="E13">
        <f ca="1">payment_sample!E13</f>
        <v>338</v>
      </c>
      <c r="F13">
        <f t="shared" ca="1" si="0"/>
        <v>135</v>
      </c>
      <c r="G13">
        <f>payment_sample!G13</f>
        <v>1</v>
      </c>
      <c r="H13">
        <f>payment_sample!H13</f>
        <v>16</v>
      </c>
      <c r="I13" t="str">
        <f t="shared" si="1"/>
        <v/>
      </c>
      <c r="J13">
        <f t="shared" ca="1" si="2"/>
        <v>203</v>
      </c>
      <c r="K13" t="str">
        <f t="shared" si="3"/>
        <v/>
      </c>
      <c r="L13">
        <f t="shared" ca="1" si="4"/>
        <v>135</v>
      </c>
    </row>
    <row r="14" spans="1:12">
      <c r="A14">
        <v>13</v>
      </c>
      <c r="B14">
        <v>0</v>
      </c>
      <c r="C14">
        <v>1</v>
      </c>
      <c r="D14">
        <f ca="1">payment_sample!D14</f>
        <v>113</v>
      </c>
      <c r="E14">
        <f ca="1">payment_sample!E14</f>
        <v>230</v>
      </c>
      <c r="F14">
        <f t="shared" ca="1" si="0"/>
        <v>117</v>
      </c>
      <c r="G14">
        <f>payment_sample!G14</f>
        <v>0</v>
      </c>
      <c r="H14">
        <f>payment_sample!H14</f>
        <v>12</v>
      </c>
      <c r="I14">
        <f t="shared" ca="1" si="1"/>
        <v>113</v>
      </c>
      <c r="J14" t="str">
        <f t="shared" si="2"/>
        <v/>
      </c>
      <c r="K14">
        <f t="shared" ca="1" si="3"/>
        <v>117</v>
      </c>
      <c r="L14" t="str">
        <f t="shared" si="4"/>
        <v/>
      </c>
    </row>
    <row r="15" spans="1:12">
      <c r="A15">
        <v>14</v>
      </c>
      <c r="B15">
        <v>0</v>
      </c>
      <c r="C15">
        <v>1</v>
      </c>
      <c r="D15">
        <f ca="1">payment_sample!D15</f>
        <v>176</v>
      </c>
      <c r="E15">
        <f ca="1">payment_sample!E15</f>
        <v>136</v>
      </c>
      <c r="F15">
        <f t="shared" ca="1" si="0"/>
        <v>-40</v>
      </c>
      <c r="G15">
        <f>payment_sample!G15</f>
        <v>0</v>
      </c>
      <c r="H15">
        <f>payment_sample!H15</f>
        <v>12</v>
      </c>
      <c r="I15">
        <f t="shared" ca="1" si="1"/>
        <v>176</v>
      </c>
      <c r="J15" t="str">
        <f t="shared" si="2"/>
        <v/>
      </c>
      <c r="K15">
        <f t="shared" ca="1" si="3"/>
        <v>-40</v>
      </c>
      <c r="L15" t="str">
        <f t="shared" si="4"/>
        <v/>
      </c>
    </row>
    <row r="16" spans="1:12">
      <c r="A16">
        <v>15</v>
      </c>
      <c r="B16">
        <v>1</v>
      </c>
      <c r="C16">
        <v>1</v>
      </c>
      <c r="D16">
        <f ca="1">payment_sample!D16</f>
        <v>192</v>
      </c>
      <c r="E16">
        <f ca="1">payment_sample!E16</f>
        <v>190</v>
      </c>
      <c r="F16">
        <f t="shared" ca="1" si="0"/>
        <v>-2</v>
      </c>
      <c r="G16">
        <f>payment_sample!G16</f>
        <v>1</v>
      </c>
      <c r="H16">
        <f>payment_sample!H16</f>
        <v>16</v>
      </c>
      <c r="I16">
        <f t="shared" ca="1" si="1"/>
        <v>192</v>
      </c>
      <c r="J16" t="str">
        <f t="shared" si="2"/>
        <v/>
      </c>
      <c r="K16">
        <f t="shared" ca="1" si="3"/>
        <v>-2</v>
      </c>
      <c r="L16" t="str">
        <f t="shared" si="4"/>
        <v/>
      </c>
    </row>
    <row r="17" spans="1:12">
      <c r="A17">
        <v>16</v>
      </c>
      <c r="B17">
        <v>0</v>
      </c>
      <c r="C17">
        <v>0</v>
      </c>
      <c r="D17">
        <f ca="1">payment_sample!D17</f>
        <v>261</v>
      </c>
      <c r="E17">
        <f ca="1">payment_sample!E17</f>
        <v>325</v>
      </c>
      <c r="F17">
        <f t="shared" ca="1" si="0"/>
        <v>64</v>
      </c>
      <c r="G17">
        <f>payment_sample!G17</f>
        <v>1</v>
      </c>
      <c r="H17">
        <f>payment_sample!H17</f>
        <v>18</v>
      </c>
      <c r="I17" t="str">
        <f t="shared" si="1"/>
        <v/>
      </c>
      <c r="J17">
        <f t="shared" ca="1" si="2"/>
        <v>261</v>
      </c>
      <c r="K17" t="str">
        <f t="shared" si="3"/>
        <v/>
      </c>
      <c r="L17">
        <f t="shared" ca="1" si="4"/>
        <v>64</v>
      </c>
    </row>
    <row r="18" spans="1:12">
      <c r="A18">
        <v>17</v>
      </c>
      <c r="B18">
        <v>1</v>
      </c>
      <c r="C18">
        <v>1</v>
      </c>
      <c r="D18">
        <f ca="1">payment_sample!D18</f>
        <v>182</v>
      </c>
      <c r="E18">
        <f ca="1">payment_sample!E18</f>
        <v>214</v>
      </c>
      <c r="F18">
        <f t="shared" ca="1" si="0"/>
        <v>32</v>
      </c>
      <c r="G18">
        <f>payment_sample!G18</f>
        <v>1</v>
      </c>
      <c r="H18">
        <f>payment_sample!H18</f>
        <v>16</v>
      </c>
      <c r="I18">
        <f t="shared" ca="1" si="1"/>
        <v>182</v>
      </c>
      <c r="J18" t="str">
        <f t="shared" si="2"/>
        <v/>
      </c>
      <c r="K18">
        <f t="shared" ca="1" si="3"/>
        <v>32</v>
      </c>
      <c r="L18" t="str">
        <f t="shared" si="4"/>
        <v/>
      </c>
    </row>
    <row r="19" spans="1:12">
      <c r="A19">
        <v>18</v>
      </c>
      <c r="B19">
        <v>0</v>
      </c>
      <c r="C19">
        <v>1</v>
      </c>
      <c r="D19">
        <f ca="1">payment_sample!D19</f>
        <v>120</v>
      </c>
      <c r="E19">
        <f ca="1">payment_sample!E19</f>
        <v>182</v>
      </c>
      <c r="F19">
        <f t="shared" ca="1" si="0"/>
        <v>62</v>
      </c>
      <c r="G19">
        <f>payment_sample!G19</f>
        <v>0</v>
      </c>
      <c r="H19">
        <f>payment_sample!H19</f>
        <v>9</v>
      </c>
      <c r="I19">
        <f t="shared" ca="1" si="1"/>
        <v>120</v>
      </c>
      <c r="J19" t="str">
        <f t="shared" si="2"/>
        <v/>
      </c>
      <c r="K19">
        <f t="shared" ca="1" si="3"/>
        <v>62</v>
      </c>
      <c r="L19" t="str">
        <f t="shared" si="4"/>
        <v/>
      </c>
    </row>
    <row r="20" spans="1:12">
      <c r="A20">
        <v>19</v>
      </c>
      <c r="B20">
        <v>1</v>
      </c>
      <c r="C20">
        <v>0</v>
      </c>
      <c r="D20">
        <f ca="1">payment_sample!D20</f>
        <v>324</v>
      </c>
      <c r="E20">
        <f ca="1">payment_sample!E20</f>
        <v>209</v>
      </c>
      <c r="F20">
        <f t="shared" ca="1" si="0"/>
        <v>-115</v>
      </c>
      <c r="G20">
        <f>payment_sample!G20</f>
        <v>1</v>
      </c>
      <c r="H20">
        <f>payment_sample!H20</f>
        <v>12</v>
      </c>
      <c r="I20" t="str">
        <f t="shared" si="1"/>
        <v/>
      </c>
      <c r="J20">
        <f t="shared" ca="1" si="2"/>
        <v>324</v>
      </c>
      <c r="K20" t="str">
        <f t="shared" si="3"/>
        <v/>
      </c>
      <c r="L20">
        <f t="shared" ca="1" si="4"/>
        <v>-115</v>
      </c>
    </row>
    <row r="21" spans="1:12">
      <c r="A21">
        <v>20</v>
      </c>
      <c r="B21">
        <v>0</v>
      </c>
      <c r="C21">
        <v>0</v>
      </c>
      <c r="D21">
        <f ca="1">payment_sample!D21</f>
        <v>241</v>
      </c>
      <c r="E21">
        <f ca="1">payment_sample!E21</f>
        <v>257</v>
      </c>
      <c r="F21">
        <f t="shared" ca="1" si="0"/>
        <v>16</v>
      </c>
      <c r="G21">
        <f>payment_sample!G21</f>
        <v>0</v>
      </c>
      <c r="H21">
        <f>payment_sample!H21</f>
        <v>12</v>
      </c>
      <c r="I21" t="str">
        <f t="shared" si="1"/>
        <v/>
      </c>
      <c r="J21">
        <f t="shared" ca="1" si="2"/>
        <v>241</v>
      </c>
      <c r="K21" t="str">
        <f t="shared" si="3"/>
        <v/>
      </c>
      <c r="L21">
        <f t="shared" ref="L21:L31" ca="1" si="5">IF(C21=0,F21,"")</f>
        <v>16</v>
      </c>
    </row>
    <row r="22" spans="1:12">
      <c r="A22">
        <v>21</v>
      </c>
      <c r="B22">
        <v>0</v>
      </c>
      <c r="C22">
        <v>0</v>
      </c>
      <c r="D22">
        <f ca="1">payment_sample!D22</f>
        <v>311</v>
      </c>
      <c r="E22">
        <f ca="1">payment_sample!E22</f>
        <v>347</v>
      </c>
      <c r="F22">
        <f t="shared" ca="1" si="0"/>
        <v>36</v>
      </c>
      <c r="G22">
        <v>0</v>
      </c>
      <c r="H22">
        <v>16</v>
      </c>
      <c r="I22" t="str">
        <f t="shared" si="1"/>
        <v/>
      </c>
      <c r="J22">
        <f t="shared" ca="1" si="2"/>
        <v>311</v>
      </c>
      <c r="K22" t="str">
        <f t="shared" si="3"/>
        <v/>
      </c>
      <c r="L22">
        <f t="shared" ca="1" si="5"/>
        <v>36</v>
      </c>
    </row>
    <row r="23" spans="1:12">
      <c r="A23">
        <v>22</v>
      </c>
      <c r="B23">
        <v>0</v>
      </c>
      <c r="C23">
        <v>0</v>
      </c>
      <c r="D23">
        <f ca="1">payment_sample!D23</f>
        <v>321</v>
      </c>
      <c r="E23">
        <f ca="1">payment_sample!E23</f>
        <v>340</v>
      </c>
      <c r="F23">
        <f t="shared" ca="1" si="0"/>
        <v>19</v>
      </c>
      <c r="G23">
        <v>0</v>
      </c>
      <c r="H23">
        <v>16</v>
      </c>
      <c r="I23" t="str">
        <f t="shared" si="1"/>
        <v/>
      </c>
      <c r="J23">
        <f t="shared" ca="1" si="2"/>
        <v>321</v>
      </c>
      <c r="K23" t="str">
        <f t="shared" si="3"/>
        <v/>
      </c>
      <c r="L23">
        <f t="shared" ca="1" si="5"/>
        <v>19</v>
      </c>
    </row>
    <row r="24" spans="1:12">
      <c r="A24">
        <v>23</v>
      </c>
      <c r="B24">
        <v>0</v>
      </c>
      <c r="C24">
        <v>0</v>
      </c>
      <c r="D24">
        <f ca="1">payment_sample!D24</f>
        <v>264</v>
      </c>
      <c r="E24">
        <f ca="1">payment_sample!E24</f>
        <v>181</v>
      </c>
      <c r="F24">
        <f t="shared" ca="1" si="0"/>
        <v>-83</v>
      </c>
      <c r="G24">
        <v>0</v>
      </c>
      <c r="H24">
        <v>16</v>
      </c>
      <c r="I24" t="str">
        <f t="shared" si="1"/>
        <v/>
      </c>
      <c r="J24">
        <f t="shared" ca="1" si="2"/>
        <v>264</v>
      </c>
      <c r="K24" t="str">
        <f t="shared" si="3"/>
        <v/>
      </c>
      <c r="L24">
        <f t="shared" ca="1" si="5"/>
        <v>-83</v>
      </c>
    </row>
    <row r="25" spans="1:12">
      <c r="A25">
        <v>24</v>
      </c>
      <c r="B25">
        <v>0</v>
      </c>
      <c r="C25">
        <v>0</v>
      </c>
      <c r="D25">
        <f ca="1">payment_sample!D25</f>
        <v>205</v>
      </c>
      <c r="E25">
        <f ca="1">payment_sample!E25</f>
        <v>275</v>
      </c>
      <c r="F25">
        <f t="shared" ca="1" si="0"/>
        <v>70</v>
      </c>
      <c r="G25">
        <v>1</v>
      </c>
      <c r="H25">
        <v>12</v>
      </c>
      <c r="I25" t="str">
        <f t="shared" si="1"/>
        <v/>
      </c>
      <c r="J25">
        <f t="shared" ca="1" si="2"/>
        <v>205</v>
      </c>
      <c r="K25" t="str">
        <f t="shared" si="3"/>
        <v/>
      </c>
      <c r="L25">
        <f t="shared" ca="1" si="5"/>
        <v>70</v>
      </c>
    </row>
    <row r="26" spans="1:12">
      <c r="A26">
        <v>25</v>
      </c>
      <c r="B26">
        <v>0</v>
      </c>
      <c r="C26">
        <v>1</v>
      </c>
      <c r="D26">
        <f ca="1">payment_sample!D26</f>
        <v>186</v>
      </c>
      <c r="E26">
        <f ca="1">payment_sample!E26</f>
        <v>206</v>
      </c>
      <c r="F26">
        <f t="shared" ca="1" si="0"/>
        <v>20</v>
      </c>
      <c r="G26">
        <v>1</v>
      </c>
      <c r="H26">
        <v>12</v>
      </c>
      <c r="I26">
        <f t="shared" ca="1" si="1"/>
        <v>186</v>
      </c>
      <c r="J26" t="str">
        <f t="shared" si="2"/>
        <v/>
      </c>
      <c r="K26">
        <f t="shared" ca="1" si="3"/>
        <v>20</v>
      </c>
      <c r="L26" t="str">
        <f t="shared" si="5"/>
        <v/>
      </c>
    </row>
    <row r="27" spans="1:12">
      <c r="A27">
        <v>26</v>
      </c>
      <c r="B27">
        <v>0</v>
      </c>
      <c r="C27">
        <v>1</v>
      </c>
      <c r="D27">
        <f ca="1">payment_sample!D27</f>
        <v>124</v>
      </c>
      <c r="E27">
        <f ca="1">payment_sample!E27</f>
        <v>109</v>
      </c>
      <c r="F27">
        <f t="shared" ca="1" si="0"/>
        <v>-15</v>
      </c>
      <c r="G27">
        <v>1</v>
      </c>
      <c r="H27">
        <v>12</v>
      </c>
      <c r="I27">
        <f t="shared" ca="1" si="1"/>
        <v>124</v>
      </c>
      <c r="J27" t="str">
        <f t="shared" si="2"/>
        <v/>
      </c>
      <c r="K27">
        <f t="shared" ca="1" si="3"/>
        <v>-15</v>
      </c>
      <c r="L27" t="str">
        <f t="shared" si="5"/>
        <v/>
      </c>
    </row>
    <row r="28" spans="1:12">
      <c r="A28">
        <v>27</v>
      </c>
      <c r="B28">
        <v>0</v>
      </c>
      <c r="C28">
        <v>1</v>
      </c>
      <c r="D28">
        <f ca="1">payment_sample!D28</f>
        <v>247</v>
      </c>
      <c r="E28">
        <f ca="1">payment_sample!E28</f>
        <v>109</v>
      </c>
      <c r="F28">
        <f t="shared" ca="1" si="0"/>
        <v>-138</v>
      </c>
      <c r="G28">
        <v>1</v>
      </c>
      <c r="H28">
        <v>9</v>
      </c>
      <c r="I28">
        <f t="shared" ca="1" si="1"/>
        <v>247</v>
      </c>
      <c r="J28" t="str">
        <f t="shared" si="2"/>
        <v/>
      </c>
      <c r="K28">
        <f t="shared" ca="1" si="3"/>
        <v>-138</v>
      </c>
      <c r="L28" t="str">
        <f t="shared" si="5"/>
        <v/>
      </c>
    </row>
    <row r="29" spans="1:12">
      <c r="A29">
        <v>28</v>
      </c>
      <c r="B29">
        <v>0</v>
      </c>
      <c r="C29">
        <v>1</v>
      </c>
      <c r="D29">
        <f ca="1">payment_sample!D29</f>
        <v>100</v>
      </c>
      <c r="E29">
        <f ca="1">payment_sample!E29</f>
        <v>142</v>
      </c>
      <c r="F29">
        <f t="shared" ca="1" si="0"/>
        <v>42</v>
      </c>
      <c r="G29">
        <v>0</v>
      </c>
      <c r="H29">
        <v>12</v>
      </c>
      <c r="I29">
        <f t="shared" ca="1" si="1"/>
        <v>100</v>
      </c>
      <c r="J29" t="str">
        <f t="shared" si="2"/>
        <v/>
      </c>
      <c r="K29">
        <f t="shared" ca="1" si="3"/>
        <v>42</v>
      </c>
      <c r="L29" t="str">
        <f t="shared" si="5"/>
        <v/>
      </c>
    </row>
    <row r="30" spans="1:12">
      <c r="A30">
        <v>29</v>
      </c>
      <c r="B30">
        <v>0</v>
      </c>
      <c r="C30">
        <v>1</v>
      </c>
      <c r="D30">
        <f ca="1">payment_sample!D30</f>
        <v>176</v>
      </c>
      <c r="E30">
        <f ca="1">payment_sample!E30</f>
        <v>209</v>
      </c>
      <c r="F30">
        <f t="shared" ca="1" si="0"/>
        <v>33</v>
      </c>
      <c r="G30">
        <v>0</v>
      </c>
      <c r="H30">
        <v>12</v>
      </c>
      <c r="I30">
        <f t="shared" ca="1" si="1"/>
        <v>176</v>
      </c>
      <c r="J30" t="str">
        <f t="shared" si="2"/>
        <v/>
      </c>
      <c r="K30">
        <f t="shared" ca="1" si="3"/>
        <v>33</v>
      </c>
      <c r="L30" t="str">
        <f t="shared" si="5"/>
        <v/>
      </c>
    </row>
    <row r="31" spans="1:12">
      <c r="A31">
        <v>30</v>
      </c>
      <c r="B31">
        <v>0</v>
      </c>
      <c r="C31">
        <v>1</v>
      </c>
      <c r="D31">
        <f ca="1">payment_sample!D31</f>
        <v>188</v>
      </c>
      <c r="E31">
        <f ca="1">payment_sample!E31</f>
        <v>144</v>
      </c>
      <c r="F31">
        <f t="shared" ca="1" si="0"/>
        <v>-44</v>
      </c>
      <c r="G31">
        <v>0</v>
      </c>
      <c r="H31">
        <v>12</v>
      </c>
      <c r="I31">
        <f t="shared" ca="1" si="1"/>
        <v>188</v>
      </c>
      <c r="J31" t="str">
        <f t="shared" si="2"/>
        <v/>
      </c>
      <c r="K31">
        <f t="shared" ca="1" si="3"/>
        <v>-44</v>
      </c>
      <c r="L31" t="str">
        <f t="shared" si="5"/>
        <v/>
      </c>
    </row>
    <row r="32" spans="1:12">
      <c r="B32">
        <f>COUNTIF(B21:B21,1)/30</f>
        <v>0</v>
      </c>
      <c r="C32">
        <f>COUNTIF(C21:C31,1)/30</f>
        <v>0.2</v>
      </c>
      <c r="D32">
        <f ca="1">AVERAGE(D21:D31)</f>
        <v>214.81818181818181</v>
      </c>
      <c r="E32">
        <f ca="1">AVERAGE(E21:E31)</f>
        <v>210.81818181818181</v>
      </c>
      <c r="F32">
        <f ca="1">AVERAGE(F21:F31)</f>
        <v>-4</v>
      </c>
      <c r="G32">
        <f>COUNTIF(G21:G31,1)/30</f>
        <v>0.13333333333333333</v>
      </c>
      <c r="H32">
        <f>AVERAGE(H21:H31)</f>
        <v>12.818181818181818</v>
      </c>
      <c r="I32">
        <f ca="1">AVERAGE(I21:I31)</f>
        <v>170.16666666666666</v>
      </c>
      <c r="J32">
        <f ca="1">AVERAGE(J21:J31)</f>
        <v>268.39999999999998</v>
      </c>
      <c r="K32" s="1">
        <f ca="1">AVERAGE(K21:K31)</f>
        <v>-17</v>
      </c>
      <c r="L32">
        <f ca="1">AVERAGE(L2:L31)</f>
        <v>11.6</v>
      </c>
    </row>
  </sheetData>
  <autoFilter ref="A1:K22" xr:uid="{3E71E9B9-653D-D545-9380-F4FB74FD47F3}">
    <sortState xmlns:xlrd2="http://schemas.microsoft.com/office/spreadsheetml/2017/richdata2" ref="A2:K32">
      <sortCondition ref="A1:A32"/>
    </sortState>
  </autoFilter>
  <phoneticPr fontId="18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payment_sample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naruhisa nakane</dc:creator>
  <cp:lastModifiedBy>nakane naruhisa</cp:lastModifiedBy>
  <dcterms:created xsi:type="dcterms:W3CDTF">2024-05-29T02:25:43Z</dcterms:created>
  <dcterms:modified xsi:type="dcterms:W3CDTF">2025-01-21T07:46:26Z</dcterms:modified>
</cp:coreProperties>
</file>