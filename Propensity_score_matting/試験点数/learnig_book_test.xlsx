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Propensity_score_matting/"/>
    </mc:Choice>
  </mc:AlternateContent>
  <xr:revisionPtr revIDLastSave="185" documentId="8_{650F34AE-F078-6142-8379-274FF384E070}" xr6:coauthVersionLast="47" xr6:coauthVersionMax="47" xr10:uidLastSave="{35B15E96-FF0C-874B-A3FA-AB4B29E18C48}"/>
  <bookViews>
    <workbookView xWindow="-29120" yWindow="840" windowWidth="34540" windowHeight="18260" xr2:uid="{9D8E53E9-2F36-8D4D-B5DA-D62A8DF379C6}"/>
  </bookViews>
  <sheets>
    <sheet name="raw_data" sheetId="2" r:id="rId1"/>
    <sheet name="learnig_book_test" sheetId="1" r:id="rId2"/>
  </sheets>
  <definedNames>
    <definedName name="_xlnm._FilterDatabase" localSheetId="1" hidden="1">learnig_book_test!$A$1:$K$32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32" i="1"/>
  <c r="C32" i="1"/>
  <c r="D32" i="1"/>
  <c r="E32" i="1"/>
  <c r="G32" i="1"/>
  <c r="H2" i="1"/>
  <c r="J2" i="1"/>
  <c r="K2" i="1"/>
  <c r="I3" i="1"/>
  <c r="J3" i="1"/>
  <c r="K3" i="1"/>
  <c r="I4" i="1"/>
  <c r="J4" i="1"/>
  <c r="K4" i="1"/>
  <c r="H5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H10" i="1"/>
  <c r="J10" i="1"/>
  <c r="K10" i="1"/>
  <c r="I11" i="1"/>
  <c r="J11" i="1"/>
  <c r="K11" i="1"/>
  <c r="H12" i="1"/>
  <c r="J12" i="1"/>
  <c r="K12" i="1"/>
  <c r="I13" i="1"/>
  <c r="J13" i="1"/>
  <c r="K13" i="1"/>
  <c r="H14" i="1"/>
  <c r="J14" i="1"/>
  <c r="K14" i="1"/>
  <c r="H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H26" i="1"/>
  <c r="J26" i="1"/>
  <c r="K26" i="1"/>
  <c r="H27" i="1"/>
  <c r="J27" i="1"/>
  <c r="K27" i="1"/>
  <c r="H28" i="1"/>
  <c r="J28" i="1"/>
  <c r="K28" i="1"/>
  <c r="I29" i="1"/>
  <c r="J29" i="1"/>
  <c r="K29" i="1"/>
  <c r="I30" i="1"/>
  <c r="J30" i="1"/>
  <c r="K30" i="1"/>
  <c r="H31" i="1"/>
  <c r="J31" i="1"/>
  <c r="K31" i="1"/>
  <c r="F3" i="1"/>
  <c r="H3" i="1" s="1"/>
  <c r="F4" i="1"/>
  <c r="H4" i="1" s="1"/>
  <c r="F5" i="1"/>
  <c r="F6" i="1"/>
  <c r="H6" i="1" s="1"/>
  <c r="F7" i="1"/>
  <c r="H7" i="1" s="1"/>
  <c r="F8" i="1"/>
  <c r="H8" i="1" s="1"/>
  <c r="F9" i="1"/>
  <c r="H9" i="1" s="1"/>
  <c r="F10" i="1"/>
  <c r="I10" i="1" s="1"/>
  <c r="F11" i="1"/>
  <c r="H11" i="1" s="1"/>
  <c r="F12" i="1"/>
  <c r="I12" i="1" s="1"/>
  <c r="F13" i="1"/>
  <c r="H13" i="1" s="1"/>
  <c r="F14" i="1"/>
  <c r="I14" i="1" s="1"/>
  <c r="F15" i="1"/>
  <c r="I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I21" i="1" s="1"/>
  <c r="F22" i="1"/>
  <c r="H22" i="1" s="1"/>
  <c r="F23" i="1"/>
  <c r="H23" i="1" s="1"/>
  <c r="F24" i="1"/>
  <c r="H24" i="1" s="1"/>
  <c r="F25" i="1"/>
  <c r="H25" i="1" s="1"/>
  <c r="F26" i="1"/>
  <c r="I26" i="1" s="1"/>
  <c r="F27" i="1"/>
  <c r="I27" i="1" s="1"/>
  <c r="F28" i="1"/>
  <c r="I28" i="1" s="1"/>
  <c r="F29" i="1"/>
  <c r="H29" i="1" s="1"/>
  <c r="F30" i="1"/>
  <c r="H30" i="1" s="1"/>
  <c r="F31" i="1"/>
  <c r="I31" i="1" s="1"/>
  <c r="F2" i="1"/>
  <c r="I2" i="1" s="1"/>
  <c r="J32" i="1" l="1"/>
  <c r="H32" i="1"/>
  <c r="K32" i="1"/>
  <c r="I32" i="1"/>
  <c r="F32" i="1"/>
</calcChain>
</file>

<file path=xl/sharedStrings.xml><?xml version="1.0" encoding="utf-8"?>
<sst xmlns="http://schemas.openxmlformats.org/spreadsheetml/2006/main" count="18" uniqueCount="11">
  <si>
    <t>ID</t>
  </si>
  <si>
    <t>gender</t>
  </si>
  <si>
    <t>treatment</t>
  </si>
  <si>
    <t>point_before</t>
  </si>
  <si>
    <t>point_after</t>
  </si>
  <si>
    <t>outcome</t>
  </si>
  <si>
    <t>learnig_time_at_home</t>
  </si>
  <si>
    <t>y|t=1</t>
  </si>
  <si>
    <t>y|t=0</t>
  </si>
  <si>
    <t>l|y=1</t>
  </si>
  <si>
    <t>l|t=0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</si>
</sst>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BF97-2519-D64B-8580-8F6BF0DEC9D6}">
  <dimension ref="A1:G31"/>
  <sheetViews>
    <sheetView tabSelected="1" zoomScale="183" zoomScaleNormal="183" workbookViewId="0">
      <selection activeCell="D2" sqref="D2:G31"/>
    </sheetView>
  </sheetViews>
  <sheetFormatPr baseColWidth="10" defaultRowHeight="20"/>
  <cols>
    <col min="3" max="3" width="9.42578125" bestFit="1" customWidth="1"/>
    <col min="4" max="4" width="11.7109375" bestFit="1" customWidth="1"/>
    <col min="5" max="5" width="10.28515625" bestFit="1" customWidth="1"/>
    <col min="7" max="7" width="1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</v>
      </c>
      <c r="C2">
        <v>0</v>
      </c>
      <c r="D2">
        <v>55</v>
      </c>
      <c r="E2">
        <v>54</v>
      </c>
      <c r="F2">
        <f>E2-D2</f>
        <v>-1</v>
      </c>
      <c r="G2">
        <v>1.3</v>
      </c>
    </row>
    <row r="3" spans="1:7">
      <c r="A3">
        <v>2</v>
      </c>
      <c r="B3">
        <v>1</v>
      </c>
      <c r="C3">
        <v>1</v>
      </c>
      <c r="D3">
        <v>49</v>
      </c>
      <c r="E3">
        <v>65</v>
      </c>
      <c r="F3">
        <f t="shared" ref="F3:F31" si="0">E3-D3</f>
        <v>16</v>
      </c>
      <c r="G3">
        <v>2.5</v>
      </c>
    </row>
    <row r="4" spans="1:7">
      <c r="A4">
        <v>3</v>
      </c>
      <c r="B4">
        <v>0</v>
      </c>
      <c r="C4">
        <v>1</v>
      </c>
      <c r="D4">
        <v>56</v>
      </c>
      <c r="E4">
        <v>61</v>
      </c>
      <c r="F4">
        <f t="shared" si="0"/>
        <v>5</v>
      </c>
      <c r="G4">
        <v>2.2999999999999998</v>
      </c>
    </row>
    <row r="5" spans="1:7">
      <c r="A5">
        <v>4</v>
      </c>
      <c r="B5">
        <v>0</v>
      </c>
      <c r="C5">
        <v>0</v>
      </c>
      <c r="D5">
        <v>65</v>
      </c>
      <c r="E5">
        <v>64</v>
      </c>
      <c r="F5">
        <f t="shared" si="0"/>
        <v>-1</v>
      </c>
      <c r="G5">
        <v>1.7</v>
      </c>
    </row>
    <row r="6" spans="1:7">
      <c r="A6">
        <v>5</v>
      </c>
      <c r="B6">
        <v>1</v>
      </c>
      <c r="C6">
        <v>1</v>
      </c>
      <c r="D6">
        <v>48</v>
      </c>
      <c r="E6">
        <v>76</v>
      </c>
      <c r="F6">
        <f t="shared" si="0"/>
        <v>28</v>
      </c>
      <c r="G6">
        <v>2.2000000000000002</v>
      </c>
    </row>
    <row r="7" spans="1:7">
      <c r="A7">
        <v>6</v>
      </c>
      <c r="B7">
        <v>0</v>
      </c>
      <c r="C7">
        <v>1</v>
      </c>
      <c r="D7">
        <v>48</v>
      </c>
      <c r="E7">
        <v>67</v>
      </c>
      <c r="F7">
        <f t="shared" si="0"/>
        <v>19</v>
      </c>
      <c r="G7">
        <v>3.1</v>
      </c>
    </row>
    <row r="8" spans="1:7">
      <c r="A8">
        <v>7</v>
      </c>
      <c r="B8">
        <v>1</v>
      </c>
      <c r="C8">
        <v>1</v>
      </c>
      <c r="D8">
        <v>43</v>
      </c>
      <c r="E8">
        <v>69</v>
      </c>
      <c r="F8">
        <f t="shared" si="0"/>
        <v>26</v>
      </c>
      <c r="G8">
        <v>2.1</v>
      </c>
    </row>
    <row r="9" spans="1:7">
      <c r="A9">
        <v>8</v>
      </c>
      <c r="B9">
        <v>1</v>
      </c>
      <c r="C9">
        <v>1</v>
      </c>
      <c r="D9">
        <v>50</v>
      </c>
      <c r="E9">
        <v>75</v>
      </c>
      <c r="F9">
        <f t="shared" si="0"/>
        <v>25</v>
      </c>
      <c r="G9">
        <v>1.9</v>
      </c>
    </row>
    <row r="10" spans="1:7">
      <c r="A10">
        <v>9</v>
      </c>
      <c r="B10">
        <v>1</v>
      </c>
      <c r="C10">
        <v>0</v>
      </c>
      <c r="D10">
        <v>60</v>
      </c>
      <c r="E10">
        <v>58</v>
      </c>
      <c r="F10">
        <f t="shared" si="0"/>
        <v>-2</v>
      </c>
      <c r="G10">
        <v>1.6</v>
      </c>
    </row>
    <row r="11" spans="1:7">
      <c r="A11">
        <v>10</v>
      </c>
      <c r="B11">
        <v>0</v>
      </c>
      <c r="C11">
        <v>1</v>
      </c>
      <c r="D11">
        <v>51</v>
      </c>
      <c r="E11">
        <v>80</v>
      </c>
      <c r="F11">
        <f t="shared" si="0"/>
        <v>29</v>
      </c>
      <c r="G11">
        <v>3.3</v>
      </c>
    </row>
    <row r="12" spans="1:7">
      <c r="A12">
        <v>11</v>
      </c>
      <c r="B12">
        <v>0</v>
      </c>
      <c r="C12">
        <v>0</v>
      </c>
      <c r="D12">
        <v>46</v>
      </c>
      <c r="E12">
        <v>45</v>
      </c>
      <c r="F12">
        <f t="shared" si="0"/>
        <v>-1</v>
      </c>
      <c r="G12">
        <v>1.7</v>
      </c>
    </row>
    <row r="13" spans="1:7">
      <c r="A13">
        <v>12</v>
      </c>
      <c r="B13">
        <v>0</v>
      </c>
      <c r="C13">
        <v>1</v>
      </c>
      <c r="D13">
        <v>49</v>
      </c>
      <c r="E13">
        <v>54</v>
      </c>
      <c r="F13">
        <f t="shared" si="0"/>
        <v>5</v>
      </c>
      <c r="G13">
        <v>2.5</v>
      </c>
    </row>
    <row r="14" spans="1:7">
      <c r="A14">
        <v>13</v>
      </c>
      <c r="B14">
        <v>0</v>
      </c>
      <c r="C14">
        <v>0</v>
      </c>
      <c r="D14">
        <v>48</v>
      </c>
      <c r="E14">
        <v>65</v>
      </c>
      <c r="F14">
        <f t="shared" si="0"/>
        <v>17</v>
      </c>
      <c r="G14">
        <v>1.9</v>
      </c>
    </row>
    <row r="15" spans="1:7">
      <c r="A15">
        <v>14</v>
      </c>
      <c r="B15">
        <v>1</v>
      </c>
      <c r="C15">
        <v>0</v>
      </c>
      <c r="D15">
        <v>54</v>
      </c>
      <c r="E15">
        <v>49</v>
      </c>
      <c r="F15">
        <f t="shared" si="0"/>
        <v>-5</v>
      </c>
      <c r="G15">
        <v>0.2</v>
      </c>
    </row>
    <row r="16" spans="1:7">
      <c r="A16">
        <v>15</v>
      </c>
      <c r="B16">
        <v>0</v>
      </c>
      <c r="C16">
        <v>1</v>
      </c>
      <c r="D16">
        <v>56</v>
      </c>
      <c r="E16">
        <v>71</v>
      </c>
      <c r="F16">
        <f t="shared" si="0"/>
        <v>15</v>
      </c>
      <c r="G16">
        <v>2.9</v>
      </c>
    </row>
    <row r="17" spans="1:7">
      <c r="A17">
        <v>16</v>
      </c>
      <c r="B17">
        <v>0</v>
      </c>
      <c r="C17">
        <v>1</v>
      </c>
      <c r="D17">
        <v>50</v>
      </c>
      <c r="E17">
        <v>67</v>
      </c>
      <c r="F17">
        <f t="shared" si="0"/>
        <v>17</v>
      </c>
      <c r="G17">
        <v>2.1</v>
      </c>
    </row>
    <row r="18" spans="1:7">
      <c r="A18">
        <v>17</v>
      </c>
      <c r="B18">
        <v>1</v>
      </c>
      <c r="C18">
        <v>1</v>
      </c>
      <c r="D18">
        <v>50</v>
      </c>
      <c r="E18">
        <v>54</v>
      </c>
      <c r="F18">
        <f t="shared" si="0"/>
        <v>4</v>
      </c>
      <c r="G18">
        <v>1.9</v>
      </c>
    </row>
    <row r="19" spans="1:7">
      <c r="A19">
        <v>18</v>
      </c>
      <c r="B19">
        <v>1</v>
      </c>
      <c r="C19">
        <v>1</v>
      </c>
      <c r="D19">
        <v>54</v>
      </c>
      <c r="E19">
        <v>57</v>
      </c>
      <c r="F19">
        <f t="shared" si="0"/>
        <v>3</v>
      </c>
      <c r="G19">
        <v>1.9</v>
      </c>
    </row>
    <row r="20" spans="1:7">
      <c r="A20">
        <v>19</v>
      </c>
      <c r="B20">
        <v>0</v>
      </c>
      <c r="C20">
        <v>1</v>
      </c>
      <c r="D20">
        <v>58</v>
      </c>
      <c r="E20">
        <v>63</v>
      </c>
      <c r="F20">
        <f t="shared" si="0"/>
        <v>5</v>
      </c>
      <c r="G20">
        <v>2.8</v>
      </c>
    </row>
    <row r="21" spans="1:7">
      <c r="A21">
        <v>20</v>
      </c>
      <c r="B21">
        <v>0</v>
      </c>
      <c r="C21">
        <v>0</v>
      </c>
      <c r="D21">
        <v>58</v>
      </c>
      <c r="E21">
        <v>59</v>
      </c>
      <c r="F21">
        <f t="shared" si="0"/>
        <v>1</v>
      </c>
      <c r="G21">
        <v>0.4</v>
      </c>
    </row>
    <row r="22" spans="1:7">
      <c r="A22">
        <v>21</v>
      </c>
      <c r="B22">
        <v>0</v>
      </c>
      <c r="C22">
        <v>1</v>
      </c>
      <c r="D22">
        <v>41</v>
      </c>
      <c r="E22">
        <v>55</v>
      </c>
      <c r="F22">
        <f t="shared" si="0"/>
        <v>14</v>
      </c>
      <c r="G22">
        <v>1.8</v>
      </c>
    </row>
    <row r="23" spans="1:7">
      <c r="A23">
        <v>22</v>
      </c>
      <c r="B23">
        <v>1</v>
      </c>
      <c r="C23">
        <v>1</v>
      </c>
      <c r="D23">
        <v>57</v>
      </c>
      <c r="E23">
        <v>60</v>
      </c>
      <c r="F23">
        <f t="shared" si="0"/>
        <v>3</v>
      </c>
      <c r="G23">
        <v>1.9</v>
      </c>
    </row>
    <row r="24" spans="1:7">
      <c r="A24">
        <v>23</v>
      </c>
      <c r="B24">
        <v>0</v>
      </c>
      <c r="C24">
        <v>1</v>
      </c>
      <c r="D24">
        <v>55</v>
      </c>
      <c r="E24">
        <v>59</v>
      </c>
      <c r="F24">
        <f t="shared" si="0"/>
        <v>4</v>
      </c>
      <c r="G24">
        <v>2.1</v>
      </c>
    </row>
    <row r="25" spans="1:7">
      <c r="A25">
        <v>24</v>
      </c>
      <c r="B25">
        <v>1</v>
      </c>
      <c r="C25">
        <v>1</v>
      </c>
      <c r="D25">
        <v>50</v>
      </c>
      <c r="E25">
        <v>53</v>
      </c>
      <c r="F25">
        <f t="shared" si="0"/>
        <v>3</v>
      </c>
      <c r="G25">
        <v>2.6</v>
      </c>
    </row>
    <row r="26" spans="1:7">
      <c r="A26">
        <v>25</v>
      </c>
      <c r="B26">
        <v>1</v>
      </c>
      <c r="C26">
        <v>0</v>
      </c>
      <c r="D26">
        <v>59</v>
      </c>
      <c r="E26">
        <v>61</v>
      </c>
      <c r="F26">
        <f t="shared" si="0"/>
        <v>2</v>
      </c>
      <c r="G26">
        <v>0.7</v>
      </c>
    </row>
    <row r="27" spans="1:7">
      <c r="A27">
        <v>26</v>
      </c>
      <c r="B27">
        <v>0</v>
      </c>
      <c r="C27">
        <v>0</v>
      </c>
      <c r="D27">
        <v>57</v>
      </c>
      <c r="E27">
        <v>57</v>
      </c>
      <c r="F27">
        <f t="shared" si="0"/>
        <v>0</v>
      </c>
      <c r="G27">
        <v>1.5</v>
      </c>
    </row>
    <row r="28" spans="1:7">
      <c r="A28">
        <v>27</v>
      </c>
      <c r="B28">
        <v>0</v>
      </c>
      <c r="C28">
        <v>0</v>
      </c>
      <c r="D28">
        <v>46</v>
      </c>
      <c r="E28">
        <v>54</v>
      </c>
      <c r="F28">
        <f t="shared" si="0"/>
        <v>8</v>
      </c>
      <c r="G28">
        <v>1.4</v>
      </c>
    </row>
    <row r="29" spans="1:7">
      <c r="A29">
        <v>28</v>
      </c>
      <c r="B29">
        <v>0</v>
      </c>
      <c r="C29">
        <v>1</v>
      </c>
      <c r="D29">
        <v>56</v>
      </c>
      <c r="E29">
        <v>68</v>
      </c>
      <c r="F29">
        <f t="shared" si="0"/>
        <v>12</v>
      </c>
      <c r="G29">
        <v>2.8</v>
      </c>
    </row>
    <row r="30" spans="1:7">
      <c r="A30">
        <v>29</v>
      </c>
      <c r="B30">
        <v>1</v>
      </c>
      <c r="C30">
        <v>1</v>
      </c>
      <c r="D30">
        <v>49</v>
      </c>
      <c r="E30">
        <v>55</v>
      </c>
      <c r="F30">
        <f t="shared" si="0"/>
        <v>6</v>
      </c>
      <c r="G30">
        <v>2.7</v>
      </c>
    </row>
    <row r="31" spans="1:7">
      <c r="A31">
        <v>30</v>
      </c>
      <c r="B31">
        <v>1</v>
      </c>
      <c r="C31">
        <v>0</v>
      </c>
      <c r="D31">
        <v>56</v>
      </c>
      <c r="E31">
        <v>72</v>
      </c>
      <c r="F31">
        <f t="shared" si="0"/>
        <v>16</v>
      </c>
      <c r="G31">
        <v>0.2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696A-C46C-4447-A7F2-BF5D29F3A2AE}">
  <dimension ref="A1:K32"/>
  <sheetViews>
    <sheetView topLeftCell="A7" zoomScale="155" zoomScaleNormal="155" workbookViewId="0">
      <selection activeCell="D2" sqref="D2:G31"/>
    </sheetView>
  </sheetViews>
  <sheetFormatPr baseColWidth="10" defaultRowHeight="20"/>
  <cols>
    <col min="7" max="7" width="2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</v>
      </c>
      <c r="C2">
        <v>0</v>
      </c>
      <c r="D2">
        <v>55</v>
      </c>
      <c r="E2">
        <v>54</v>
      </c>
      <c r="F2">
        <f>E2-D2</f>
        <v>-1</v>
      </c>
      <c r="G2">
        <v>1.3</v>
      </c>
      <c r="H2" t="str">
        <f t="shared" ref="H2:H31" si="0">IF(C2=1,F2,"")</f>
        <v/>
      </c>
      <c r="I2">
        <f t="shared" ref="I2:I31" si="1">IF(C2=0,F2,"")</f>
        <v>-1</v>
      </c>
      <c r="J2" t="str">
        <f t="shared" ref="J2:J31" si="2">IF(C2=1,G2,"")</f>
        <v/>
      </c>
      <c r="K2">
        <f t="shared" ref="K2:K31" si="3">IF(C2=0,G2,"")</f>
        <v>1.3</v>
      </c>
    </row>
    <row r="3" spans="1:11">
      <c r="A3">
        <v>2</v>
      </c>
      <c r="B3">
        <v>1</v>
      </c>
      <c r="C3">
        <v>1</v>
      </c>
      <c r="D3">
        <v>49</v>
      </c>
      <c r="E3">
        <v>65</v>
      </c>
      <c r="F3">
        <f t="shared" ref="F3:F31" si="4">E3-D3</f>
        <v>16</v>
      </c>
      <c r="G3">
        <v>2.5</v>
      </c>
      <c r="H3">
        <f t="shared" si="0"/>
        <v>16</v>
      </c>
      <c r="I3" t="str">
        <f t="shared" si="1"/>
        <v/>
      </c>
      <c r="J3">
        <f t="shared" si="2"/>
        <v>2.5</v>
      </c>
      <c r="K3" t="str">
        <f t="shared" si="3"/>
        <v/>
      </c>
    </row>
    <row r="4" spans="1:11">
      <c r="A4">
        <v>3</v>
      </c>
      <c r="B4">
        <v>0</v>
      </c>
      <c r="C4">
        <v>1</v>
      </c>
      <c r="D4">
        <v>56</v>
      </c>
      <c r="E4">
        <v>61</v>
      </c>
      <c r="F4">
        <f t="shared" si="4"/>
        <v>5</v>
      </c>
      <c r="G4">
        <v>2.2999999999999998</v>
      </c>
      <c r="H4">
        <f t="shared" si="0"/>
        <v>5</v>
      </c>
      <c r="I4" t="str">
        <f t="shared" si="1"/>
        <v/>
      </c>
      <c r="J4">
        <f t="shared" si="2"/>
        <v>2.2999999999999998</v>
      </c>
      <c r="K4" t="str">
        <f t="shared" si="3"/>
        <v/>
      </c>
    </row>
    <row r="5" spans="1:11">
      <c r="A5">
        <v>4</v>
      </c>
      <c r="B5">
        <v>0</v>
      </c>
      <c r="C5">
        <v>0</v>
      </c>
      <c r="D5">
        <v>65</v>
      </c>
      <c r="E5">
        <v>64</v>
      </c>
      <c r="F5">
        <f t="shared" si="4"/>
        <v>-1</v>
      </c>
      <c r="G5">
        <v>1.7</v>
      </c>
      <c r="H5" t="str">
        <f t="shared" si="0"/>
        <v/>
      </c>
      <c r="I5">
        <f t="shared" si="1"/>
        <v>-1</v>
      </c>
      <c r="J5" t="str">
        <f t="shared" si="2"/>
        <v/>
      </c>
      <c r="K5">
        <f t="shared" si="3"/>
        <v>1.7</v>
      </c>
    </row>
    <row r="6" spans="1:11">
      <c r="A6">
        <v>5</v>
      </c>
      <c r="B6">
        <v>1</v>
      </c>
      <c r="C6">
        <v>1</v>
      </c>
      <c r="D6">
        <v>48</v>
      </c>
      <c r="E6">
        <v>76</v>
      </c>
      <c r="F6">
        <f t="shared" si="4"/>
        <v>28</v>
      </c>
      <c r="G6">
        <v>2.2000000000000002</v>
      </c>
      <c r="H6">
        <f t="shared" si="0"/>
        <v>28</v>
      </c>
      <c r="I6" t="str">
        <f t="shared" si="1"/>
        <v/>
      </c>
      <c r="J6">
        <f t="shared" si="2"/>
        <v>2.2000000000000002</v>
      </c>
      <c r="K6" t="str">
        <f t="shared" si="3"/>
        <v/>
      </c>
    </row>
    <row r="7" spans="1:11">
      <c r="A7">
        <v>6</v>
      </c>
      <c r="B7">
        <v>0</v>
      </c>
      <c r="C7">
        <v>1</v>
      </c>
      <c r="D7">
        <v>48</v>
      </c>
      <c r="E7">
        <v>67</v>
      </c>
      <c r="F7">
        <f t="shared" si="4"/>
        <v>19</v>
      </c>
      <c r="G7">
        <v>3.1</v>
      </c>
      <c r="H7">
        <f t="shared" si="0"/>
        <v>19</v>
      </c>
      <c r="I7" t="str">
        <f t="shared" si="1"/>
        <v/>
      </c>
      <c r="J7">
        <f t="shared" si="2"/>
        <v>3.1</v>
      </c>
      <c r="K7" t="str">
        <f t="shared" si="3"/>
        <v/>
      </c>
    </row>
    <row r="8" spans="1:11">
      <c r="A8">
        <v>7</v>
      </c>
      <c r="B8">
        <v>1</v>
      </c>
      <c r="C8">
        <v>1</v>
      </c>
      <c r="D8">
        <v>43</v>
      </c>
      <c r="E8">
        <v>69</v>
      </c>
      <c r="F8">
        <f t="shared" si="4"/>
        <v>26</v>
      </c>
      <c r="G8">
        <v>2.1</v>
      </c>
      <c r="H8">
        <f t="shared" si="0"/>
        <v>26</v>
      </c>
      <c r="I8" t="str">
        <f t="shared" si="1"/>
        <v/>
      </c>
      <c r="J8">
        <f t="shared" si="2"/>
        <v>2.1</v>
      </c>
      <c r="K8" t="str">
        <f t="shared" si="3"/>
        <v/>
      </c>
    </row>
    <row r="9" spans="1:11">
      <c r="A9">
        <v>8</v>
      </c>
      <c r="B9">
        <v>1</v>
      </c>
      <c r="C9">
        <v>1</v>
      </c>
      <c r="D9">
        <v>50</v>
      </c>
      <c r="E9">
        <v>75</v>
      </c>
      <c r="F9">
        <f t="shared" si="4"/>
        <v>25</v>
      </c>
      <c r="G9">
        <v>1.9</v>
      </c>
      <c r="H9">
        <f t="shared" si="0"/>
        <v>25</v>
      </c>
      <c r="I9" t="str">
        <f t="shared" si="1"/>
        <v/>
      </c>
      <c r="J9">
        <f t="shared" si="2"/>
        <v>1.9</v>
      </c>
      <c r="K9" t="str">
        <f t="shared" si="3"/>
        <v/>
      </c>
    </row>
    <row r="10" spans="1:11">
      <c r="A10">
        <v>9</v>
      </c>
      <c r="B10">
        <v>1</v>
      </c>
      <c r="C10">
        <v>0</v>
      </c>
      <c r="D10">
        <v>60</v>
      </c>
      <c r="E10">
        <v>58</v>
      </c>
      <c r="F10">
        <f t="shared" si="4"/>
        <v>-2</v>
      </c>
      <c r="G10">
        <v>1.6</v>
      </c>
      <c r="H10" t="str">
        <f t="shared" si="0"/>
        <v/>
      </c>
      <c r="I10">
        <f t="shared" si="1"/>
        <v>-2</v>
      </c>
      <c r="J10" t="str">
        <f t="shared" si="2"/>
        <v/>
      </c>
      <c r="K10">
        <f t="shared" si="3"/>
        <v>1.6</v>
      </c>
    </row>
    <row r="11" spans="1:11">
      <c r="A11">
        <v>10</v>
      </c>
      <c r="B11">
        <v>0</v>
      </c>
      <c r="C11">
        <v>1</v>
      </c>
      <c r="D11">
        <v>51</v>
      </c>
      <c r="E11">
        <v>80</v>
      </c>
      <c r="F11">
        <f t="shared" si="4"/>
        <v>29</v>
      </c>
      <c r="G11">
        <v>3.3</v>
      </c>
      <c r="H11">
        <f t="shared" si="0"/>
        <v>29</v>
      </c>
      <c r="I11" t="str">
        <f t="shared" si="1"/>
        <v/>
      </c>
      <c r="J11">
        <f t="shared" si="2"/>
        <v>3.3</v>
      </c>
      <c r="K11" t="str">
        <f t="shared" si="3"/>
        <v/>
      </c>
    </row>
    <row r="12" spans="1:11">
      <c r="A12">
        <v>11</v>
      </c>
      <c r="B12">
        <v>0</v>
      </c>
      <c r="C12">
        <v>0</v>
      </c>
      <c r="D12">
        <v>46</v>
      </c>
      <c r="E12">
        <v>45</v>
      </c>
      <c r="F12">
        <f t="shared" si="4"/>
        <v>-1</v>
      </c>
      <c r="G12">
        <v>1.7</v>
      </c>
      <c r="H12" t="str">
        <f t="shared" si="0"/>
        <v/>
      </c>
      <c r="I12">
        <f t="shared" si="1"/>
        <v>-1</v>
      </c>
      <c r="J12" t="str">
        <f t="shared" si="2"/>
        <v/>
      </c>
      <c r="K12">
        <f t="shared" si="3"/>
        <v>1.7</v>
      </c>
    </row>
    <row r="13" spans="1:11">
      <c r="A13">
        <v>12</v>
      </c>
      <c r="B13">
        <v>0</v>
      </c>
      <c r="C13">
        <v>1</v>
      </c>
      <c r="D13">
        <v>49</v>
      </c>
      <c r="E13">
        <v>54</v>
      </c>
      <c r="F13">
        <f t="shared" si="4"/>
        <v>5</v>
      </c>
      <c r="G13">
        <v>2.5</v>
      </c>
      <c r="H13">
        <f t="shared" si="0"/>
        <v>5</v>
      </c>
      <c r="I13" t="str">
        <f t="shared" si="1"/>
        <v/>
      </c>
      <c r="J13">
        <f t="shared" si="2"/>
        <v>2.5</v>
      </c>
      <c r="K13" t="str">
        <f t="shared" si="3"/>
        <v/>
      </c>
    </row>
    <row r="14" spans="1:11">
      <c r="A14">
        <v>13</v>
      </c>
      <c r="B14">
        <v>0</v>
      </c>
      <c r="C14">
        <v>0</v>
      </c>
      <c r="D14">
        <v>48</v>
      </c>
      <c r="E14">
        <v>65</v>
      </c>
      <c r="F14">
        <f t="shared" si="4"/>
        <v>17</v>
      </c>
      <c r="G14">
        <v>1.9</v>
      </c>
      <c r="H14" t="str">
        <f t="shared" si="0"/>
        <v/>
      </c>
      <c r="I14">
        <f t="shared" si="1"/>
        <v>17</v>
      </c>
      <c r="J14" t="str">
        <f t="shared" si="2"/>
        <v/>
      </c>
      <c r="K14">
        <f t="shared" si="3"/>
        <v>1.9</v>
      </c>
    </row>
    <row r="15" spans="1:11">
      <c r="A15">
        <v>14</v>
      </c>
      <c r="B15">
        <v>1</v>
      </c>
      <c r="C15">
        <v>0</v>
      </c>
      <c r="D15">
        <v>54</v>
      </c>
      <c r="E15">
        <v>49</v>
      </c>
      <c r="F15">
        <f t="shared" si="4"/>
        <v>-5</v>
      </c>
      <c r="G15">
        <v>0.2</v>
      </c>
      <c r="H15" t="str">
        <f t="shared" si="0"/>
        <v/>
      </c>
      <c r="I15">
        <f t="shared" si="1"/>
        <v>-5</v>
      </c>
      <c r="J15" t="str">
        <f t="shared" si="2"/>
        <v/>
      </c>
      <c r="K15">
        <f t="shared" si="3"/>
        <v>0.2</v>
      </c>
    </row>
    <row r="16" spans="1:11">
      <c r="A16">
        <v>15</v>
      </c>
      <c r="B16">
        <v>0</v>
      </c>
      <c r="C16">
        <v>1</v>
      </c>
      <c r="D16">
        <v>56</v>
      </c>
      <c r="E16">
        <v>71</v>
      </c>
      <c r="F16">
        <f t="shared" si="4"/>
        <v>15</v>
      </c>
      <c r="G16">
        <v>2.9</v>
      </c>
      <c r="H16">
        <f t="shared" si="0"/>
        <v>15</v>
      </c>
      <c r="I16" t="str">
        <f t="shared" si="1"/>
        <v/>
      </c>
      <c r="J16">
        <f t="shared" si="2"/>
        <v>2.9</v>
      </c>
      <c r="K16" t="str">
        <f t="shared" si="3"/>
        <v/>
      </c>
    </row>
    <row r="17" spans="1:11">
      <c r="A17">
        <v>16</v>
      </c>
      <c r="B17">
        <v>0</v>
      </c>
      <c r="C17">
        <v>1</v>
      </c>
      <c r="D17">
        <v>50</v>
      </c>
      <c r="E17">
        <v>67</v>
      </c>
      <c r="F17">
        <f t="shared" si="4"/>
        <v>17</v>
      </c>
      <c r="G17">
        <v>2.1</v>
      </c>
      <c r="H17">
        <f t="shared" si="0"/>
        <v>17</v>
      </c>
      <c r="I17" t="str">
        <f t="shared" si="1"/>
        <v/>
      </c>
      <c r="J17">
        <f t="shared" si="2"/>
        <v>2.1</v>
      </c>
      <c r="K17" t="str">
        <f t="shared" si="3"/>
        <v/>
      </c>
    </row>
    <row r="18" spans="1:11">
      <c r="A18">
        <v>17</v>
      </c>
      <c r="B18">
        <v>1</v>
      </c>
      <c r="C18">
        <v>1</v>
      </c>
      <c r="D18">
        <v>50</v>
      </c>
      <c r="E18">
        <v>54</v>
      </c>
      <c r="F18">
        <f t="shared" si="4"/>
        <v>4</v>
      </c>
      <c r="G18">
        <v>1.9</v>
      </c>
      <c r="H18">
        <f t="shared" si="0"/>
        <v>4</v>
      </c>
      <c r="I18" t="str">
        <f t="shared" si="1"/>
        <v/>
      </c>
      <c r="J18">
        <f t="shared" si="2"/>
        <v>1.9</v>
      </c>
      <c r="K18" t="str">
        <f t="shared" si="3"/>
        <v/>
      </c>
    </row>
    <row r="19" spans="1:11">
      <c r="A19">
        <v>18</v>
      </c>
      <c r="B19">
        <v>1</v>
      </c>
      <c r="C19">
        <v>1</v>
      </c>
      <c r="D19">
        <v>54</v>
      </c>
      <c r="E19">
        <v>57</v>
      </c>
      <c r="F19">
        <f t="shared" si="4"/>
        <v>3</v>
      </c>
      <c r="G19">
        <v>1.9</v>
      </c>
      <c r="H19">
        <f t="shared" si="0"/>
        <v>3</v>
      </c>
      <c r="I19" t="str">
        <f t="shared" si="1"/>
        <v/>
      </c>
      <c r="J19">
        <f t="shared" si="2"/>
        <v>1.9</v>
      </c>
      <c r="K19" t="str">
        <f t="shared" si="3"/>
        <v/>
      </c>
    </row>
    <row r="20" spans="1:11">
      <c r="A20">
        <v>19</v>
      </c>
      <c r="B20">
        <v>0</v>
      </c>
      <c r="C20">
        <v>1</v>
      </c>
      <c r="D20">
        <v>58</v>
      </c>
      <c r="E20">
        <v>63</v>
      </c>
      <c r="F20">
        <f t="shared" si="4"/>
        <v>5</v>
      </c>
      <c r="G20">
        <v>2.8</v>
      </c>
      <c r="H20">
        <f t="shared" si="0"/>
        <v>5</v>
      </c>
      <c r="I20" t="str">
        <f t="shared" si="1"/>
        <v/>
      </c>
      <c r="J20">
        <f t="shared" si="2"/>
        <v>2.8</v>
      </c>
      <c r="K20" t="str">
        <f t="shared" si="3"/>
        <v/>
      </c>
    </row>
    <row r="21" spans="1:11">
      <c r="A21">
        <v>20</v>
      </c>
      <c r="B21">
        <v>0</v>
      </c>
      <c r="C21">
        <v>0</v>
      </c>
      <c r="D21">
        <v>58</v>
      </c>
      <c r="E21">
        <v>59</v>
      </c>
      <c r="F21">
        <f t="shared" si="4"/>
        <v>1</v>
      </c>
      <c r="G21">
        <v>0.4</v>
      </c>
      <c r="H21" t="str">
        <f t="shared" si="0"/>
        <v/>
      </c>
      <c r="I21">
        <f t="shared" si="1"/>
        <v>1</v>
      </c>
      <c r="J21" t="str">
        <f t="shared" si="2"/>
        <v/>
      </c>
      <c r="K21">
        <f t="shared" si="3"/>
        <v>0.4</v>
      </c>
    </row>
    <row r="22" spans="1:11">
      <c r="A22">
        <v>21</v>
      </c>
      <c r="B22">
        <v>0</v>
      </c>
      <c r="C22">
        <v>1</v>
      </c>
      <c r="D22">
        <v>41</v>
      </c>
      <c r="E22">
        <v>55</v>
      </c>
      <c r="F22">
        <f t="shared" si="4"/>
        <v>14</v>
      </c>
      <c r="G22">
        <v>1.8</v>
      </c>
      <c r="H22">
        <f t="shared" si="0"/>
        <v>14</v>
      </c>
      <c r="I22" t="str">
        <f t="shared" si="1"/>
        <v/>
      </c>
      <c r="J22">
        <f t="shared" si="2"/>
        <v>1.8</v>
      </c>
      <c r="K22" t="str">
        <f t="shared" si="3"/>
        <v/>
      </c>
    </row>
    <row r="23" spans="1:11">
      <c r="A23">
        <v>22</v>
      </c>
      <c r="B23">
        <v>1</v>
      </c>
      <c r="C23">
        <v>1</v>
      </c>
      <c r="D23">
        <v>57</v>
      </c>
      <c r="E23">
        <v>60</v>
      </c>
      <c r="F23">
        <f t="shared" si="4"/>
        <v>3</v>
      </c>
      <c r="G23">
        <v>1.9</v>
      </c>
      <c r="H23">
        <f t="shared" si="0"/>
        <v>3</v>
      </c>
      <c r="I23" t="str">
        <f t="shared" si="1"/>
        <v/>
      </c>
      <c r="J23">
        <f t="shared" si="2"/>
        <v>1.9</v>
      </c>
      <c r="K23" t="str">
        <f t="shared" si="3"/>
        <v/>
      </c>
    </row>
    <row r="24" spans="1:11">
      <c r="A24">
        <v>23</v>
      </c>
      <c r="B24">
        <v>0</v>
      </c>
      <c r="C24">
        <v>1</v>
      </c>
      <c r="D24">
        <v>55</v>
      </c>
      <c r="E24">
        <v>59</v>
      </c>
      <c r="F24">
        <f t="shared" si="4"/>
        <v>4</v>
      </c>
      <c r="G24">
        <v>2.1</v>
      </c>
      <c r="H24">
        <f t="shared" si="0"/>
        <v>4</v>
      </c>
      <c r="I24" t="str">
        <f t="shared" si="1"/>
        <v/>
      </c>
      <c r="J24">
        <f t="shared" si="2"/>
        <v>2.1</v>
      </c>
      <c r="K24" t="str">
        <f t="shared" si="3"/>
        <v/>
      </c>
    </row>
    <row r="25" spans="1:11">
      <c r="A25">
        <v>24</v>
      </c>
      <c r="B25">
        <v>1</v>
      </c>
      <c r="C25">
        <v>1</v>
      </c>
      <c r="D25">
        <v>50</v>
      </c>
      <c r="E25">
        <v>53</v>
      </c>
      <c r="F25">
        <f t="shared" si="4"/>
        <v>3</v>
      </c>
      <c r="G25">
        <v>2.6</v>
      </c>
      <c r="H25">
        <f t="shared" si="0"/>
        <v>3</v>
      </c>
      <c r="I25" t="str">
        <f t="shared" si="1"/>
        <v/>
      </c>
      <c r="J25">
        <f t="shared" si="2"/>
        <v>2.6</v>
      </c>
      <c r="K25" t="str">
        <f t="shared" si="3"/>
        <v/>
      </c>
    </row>
    <row r="26" spans="1:11">
      <c r="A26">
        <v>25</v>
      </c>
      <c r="B26">
        <v>1</v>
      </c>
      <c r="C26">
        <v>0</v>
      </c>
      <c r="D26">
        <v>59</v>
      </c>
      <c r="E26">
        <v>61</v>
      </c>
      <c r="F26">
        <f t="shared" si="4"/>
        <v>2</v>
      </c>
      <c r="G26">
        <v>0.7</v>
      </c>
      <c r="H26" t="str">
        <f t="shared" si="0"/>
        <v/>
      </c>
      <c r="I26">
        <f t="shared" si="1"/>
        <v>2</v>
      </c>
      <c r="J26" t="str">
        <f t="shared" si="2"/>
        <v/>
      </c>
      <c r="K26">
        <f t="shared" si="3"/>
        <v>0.7</v>
      </c>
    </row>
    <row r="27" spans="1:11">
      <c r="A27">
        <v>26</v>
      </c>
      <c r="B27">
        <v>0</v>
      </c>
      <c r="C27">
        <v>0</v>
      </c>
      <c r="D27">
        <v>57</v>
      </c>
      <c r="E27">
        <v>57</v>
      </c>
      <c r="F27">
        <f t="shared" si="4"/>
        <v>0</v>
      </c>
      <c r="G27">
        <v>1.5</v>
      </c>
      <c r="H27" t="str">
        <f t="shared" si="0"/>
        <v/>
      </c>
      <c r="I27">
        <f t="shared" si="1"/>
        <v>0</v>
      </c>
      <c r="J27" t="str">
        <f t="shared" si="2"/>
        <v/>
      </c>
      <c r="K27">
        <f t="shared" si="3"/>
        <v>1.5</v>
      </c>
    </row>
    <row r="28" spans="1:11">
      <c r="A28">
        <v>27</v>
      </c>
      <c r="B28">
        <v>0</v>
      </c>
      <c r="C28">
        <v>0</v>
      </c>
      <c r="D28">
        <v>46</v>
      </c>
      <c r="E28">
        <v>54</v>
      </c>
      <c r="F28">
        <f t="shared" si="4"/>
        <v>8</v>
      </c>
      <c r="G28">
        <v>1.4</v>
      </c>
      <c r="H28" t="str">
        <f t="shared" si="0"/>
        <v/>
      </c>
      <c r="I28">
        <f t="shared" si="1"/>
        <v>8</v>
      </c>
      <c r="J28" t="str">
        <f t="shared" si="2"/>
        <v/>
      </c>
      <c r="K28">
        <f t="shared" si="3"/>
        <v>1.4</v>
      </c>
    </row>
    <row r="29" spans="1:11">
      <c r="A29">
        <v>28</v>
      </c>
      <c r="B29">
        <v>0</v>
      </c>
      <c r="C29">
        <v>1</v>
      </c>
      <c r="D29">
        <v>56</v>
      </c>
      <c r="E29">
        <v>68</v>
      </c>
      <c r="F29">
        <f t="shared" si="4"/>
        <v>12</v>
      </c>
      <c r="G29">
        <v>2.8</v>
      </c>
      <c r="H29">
        <f t="shared" si="0"/>
        <v>12</v>
      </c>
      <c r="I29" t="str">
        <f t="shared" si="1"/>
        <v/>
      </c>
      <c r="J29">
        <f t="shared" si="2"/>
        <v>2.8</v>
      </c>
      <c r="K29" t="str">
        <f t="shared" si="3"/>
        <v/>
      </c>
    </row>
    <row r="30" spans="1:11">
      <c r="A30">
        <v>29</v>
      </c>
      <c r="B30">
        <v>1</v>
      </c>
      <c r="C30">
        <v>1</v>
      </c>
      <c r="D30">
        <v>49</v>
      </c>
      <c r="E30">
        <v>55</v>
      </c>
      <c r="F30">
        <f t="shared" si="4"/>
        <v>6</v>
      </c>
      <c r="G30">
        <v>2.7</v>
      </c>
      <c r="H30">
        <f t="shared" si="0"/>
        <v>6</v>
      </c>
      <c r="I30" t="str">
        <f t="shared" si="1"/>
        <v/>
      </c>
      <c r="J30">
        <f t="shared" si="2"/>
        <v>2.7</v>
      </c>
      <c r="K30" t="str">
        <f t="shared" si="3"/>
        <v/>
      </c>
    </row>
    <row r="31" spans="1:11">
      <c r="A31">
        <v>30</v>
      </c>
      <c r="B31">
        <v>1</v>
      </c>
      <c r="C31">
        <v>0</v>
      </c>
      <c r="D31">
        <v>56</v>
      </c>
      <c r="E31">
        <v>72</v>
      </c>
      <c r="F31">
        <f t="shared" si="4"/>
        <v>16</v>
      </c>
      <c r="G31">
        <v>0.2</v>
      </c>
      <c r="H31" t="str">
        <f t="shared" si="0"/>
        <v/>
      </c>
      <c r="I31">
        <f t="shared" si="1"/>
        <v>16</v>
      </c>
      <c r="J31" t="str">
        <f t="shared" si="2"/>
        <v/>
      </c>
      <c r="K31">
        <f t="shared" si="3"/>
        <v>0.2</v>
      </c>
    </row>
    <row r="32" spans="1:11">
      <c r="B32" s="2">
        <f>(COUNTIF(B2:B31,1))/30</f>
        <v>0.43333333333333335</v>
      </c>
      <c r="C32" s="2">
        <f>(COUNTIF(C2:C31,1))/30</f>
        <v>0.6333333333333333</v>
      </c>
      <c r="D32" s="1">
        <f t="shared" ref="D32:E32" si="5">AVERAGE(D2:D31)</f>
        <v>52.466666666666669</v>
      </c>
      <c r="E32" s="1">
        <f t="shared" si="5"/>
        <v>61.56666666666667</v>
      </c>
      <c r="F32" s="1">
        <f>AVERAGE(F2:F31)</f>
        <v>9.1</v>
      </c>
      <c r="G32" s="1">
        <f>AVERAGE(G2:G31)</f>
        <v>1.9333333333333331</v>
      </c>
      <c r="H32" s="1">
        <f t="shared" ref="H32:I32" si="6">AVERAGE(H2:H31)</f>
        <v>12.578947368421053</v>
      </c>
      <c r="I32" s="1">
        <f t="shared" si="6"/>
        <v>3.0909090909090908</v>
      </c>
      <c r="J32" s="1">
        <f>AVERAGE(J2:J31)</f>
        <v>2.3894736842105262</v>
      </c>
      <c r="K32" s="1">
        <f t="shared" ref="K32" si="7">AVERAGE(K2:K31)</f>
        <v>1.1454545454545453</v>
      </c>
    </row>
  </sheetData>
  <autoFilter ref="A1:K32" xr:uid="{3D7B696A-C46C-4447-A7F2-BF5D29F3A2AE}"/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raw_data</vt:lpstr>
      <vt:lpstr>learnig_book_test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naruhisa nakane</dc:creator>
  <cp:lastModifiedBy>nakane naruhisa</cp:lastModifiedBy>
  <dcterms:created xsi:type="dcterms:W3CDTF">2024-05-31T04:04:27Z</dcterms:created>
  <dcterms:modified xsi:type="dcterms:W3CDTF">2024-06-01T09:28:30Z</dcterms:modified>
</cp:coreProperties>
</file>