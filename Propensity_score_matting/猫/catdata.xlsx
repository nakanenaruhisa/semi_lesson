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da35acd1e075fc6/R/semi_lesson/Propensity_score_matting/"/>
    </mc:Choice>
  </mc:AlternateContent>
  <xr:revisionPtr revIDLastSave="233" documentId="8_{09C36F14-9331-1644-BCD5-E73B783162FE}" xr6:coauthVersionLast="47" xr6:coauthVersionMax="47" xr10:uidLastSave="{66D5FABF-D40D-DE43-A918-74FD5B05C423}"/>
  <bookViews>
    <workbookView xWindow="5040" yWindow="1800" windowWidth="28300" windowHeight="17440" xr2:uid="{EA9DC3E1-1368-184D-8397-3D76513D1AC9}"/>
  </bookViews>
  <sheets>
    <sheet name="Sheet2" sheetId="2" r:id="rId1"/>
    <sheet name="Sheet1" sheetId="1" r:id="rId2"/>
  </sheets>
  <definedNames>
    <definedName name="_xlnm._FilterDatabase" localSheetId="1" hidden="1">Sheet1!$A$1:$K$1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  <c r="I14" i="1" s="1"/>
  <c r="I11" i="1"/>
  <c r="I12" i="1"/>
  <c r="I13" i="1"/>
  <c r="I9" i="1"/>
  <c r="H3" i="1"/>
  <c r="H4" i="1"/>
  <c r="H5" i="1"/>
  <c r="H6" i="1"/>
  <c r="H7" i="1"/>
  <c r="H8" i="1"/>
  <c r="H2" i="1"/>
  <c r="O10" i="1"/>
  <c r="O11" i="1"/>
  <c r="O12" i="1"/>
  <c r="O13" i="1"/>
  <c r="O9" i="1"/>
  <c r="O14" i="1" s="1"/>
  <c r="N3" i="1"/>
  <c r="N4" i="1"/>
  <c r="N5" i="1"/>
  <c r="N6" i="1"/>
  <c r="N7" i="1"/>
  <c r="N8" i="1"/>
  <c r="N2" i="1"/>
  <c r="M10" i="1"/>
  <c r="M11" i="1"/>
  <c r="M12" i="1"/>
  <c r="M13" i="1"/>
  <c r="M9" i="1"/>
  <c r="M14" i="1" s="1"/>
  <c r="L3" i="1"/>
  <c r="L4" i="1"/>
  <c r="L5" i="1"/>
  <c r="L6" i="1"/>
  <c r="L7" i="1"/>
  <c r="L8" i="1"/>
  <c r="L2" i="1"/>
  <c r="C14" i="1"/>
  <c r="E31" i="1"/>
  <c r="E28" i="1"/>
  <c r="E25" i="1"/>
  <c r="E22" i="1"/>
  <c r="E19" i="1"/>
  <c r="E33" i="1" s="1"/>
  <c r="C31" i="1"/>
  <c r="C28" i="1"/>
  <c r="C25" i="1"/>
  <c r="C22" i="1"/>
  <c r="C19" i="1"/>
  <c r="C33" i="1" s="1"/>
  <c r="K15" i="1"/>
  <c r="J14" i="1"/>
  <c r="K14" i="1"/>
  <c r="H14" i="1"/>
  <c r="G14" i="1"/>
  <c r="E14" i="1"/>
  <c r="I15" i="1" l="1"/>
  <c r="N14" i="1"/>
  <c r="O15" i="1" s="1"/>
  <c r="L14" i="1"/>
  <c r="M15" i="1" s="1"/>
</calcChain>
</file>

<file path=xl/sharedStrings.xml><?xml version="1.0" encoding="utf-8"?>
<sst xmlns="http://schemas.openxmlformats.org/spreadsheetml/2006/main" count="56" uniqueCount="27">
  <si>
    <t>ID</t>
    <phoneticPr fontId="1"/>
  </si>
  <si>
    <t>name</t>
    <phoneticPr fontId="1"/>
  </si>
  <si>
    <t>treatment</t>
    <phoneticPr fontId="1"/>
  </si>
  <si>
    <t>days</t>
    <phoneticPr fontId="1"/>
  </si>
  <si>
    <t>ぴかそ</t>
    <phoneticPr fontId="1"/>
  </si>
  <si>
    <t>だり</t>
    <phoneticPr fontId="1"/>
  </si>
  <si>
    <t>まちす</t>
    <phoneticPr fontId="1"/>
  </si>
  <si>
    <t>しゃがる</t>
    <phoneticPr fontId="1"/>
  </si>
  <si>
    <t>みろ</t>
    <phoneticPr fontId="1"/>
  </si>
  <si>
    <t>あんり</t>
    <phoneticPr fontId="1"/>
  </si>
  <si>
    <t>くりむと</t>
    <phoneticPr fontId="1"/>
  </si>
  <si>
    <t>ごっほ</t>
    <phoneticPr fontId="1"/>
  </si>
  <si>
    <t>むんく</t>
    <phoneticPr fontId="1"/>
  </si>
  <si>
    <t>ぶらつく</t>
    <phoneticPr fontId="1"/>
  </si>
  <si>
    <t>きたへふ</t>
    <phoneticPr fontId="1"/>
  </si>
  <si>
    <t>まぐりと</t>
    <phoneticPr fontId="1"/>
  </si>
  <si>
    <t>weight</t>
    <phoneticPr fontId="1"/>
  </si>
  <si>
    <t>yi|ti=0</t>
    <phoneticPr fontId="1"/>
  </si>
  <si>
    <t>yi|ti=1</t>
    <phoneticPr fontId="1"/>
  </si>
  <si>
    <t>wi|t=1</t>
    <phoneticPr fontId="1"/>
  </si>
  <si>
    <t>wi|t=0</t>
    <phoneticPr fontId="1"/>
  </si>
  <si>
    <t>age</t>
    <phoneticPr fontId="1"/>
  </si>
  <si>
    <t>hair_type</t>
    <phoneticPr fontId="1"/>
  </si>
  <si>
    <t>agei|t0</t>
    <phoneticPr fontId="1"/>
  </si>
  <si>
    <t>agei|t1</t>
  </si>
  <si>
    <t>hairi|y0</t>
    <phoneticPr fontId="1"/>
  </si>
  <si>
    <t>hairi|y1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</si>
</sst>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0.000"/>
    <numFmt numFmtId="178" formatCode="0.0000"/>
    <numFmt numFmtId="179" formatCode="0.0_ "/>
  </numFmts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76" fontId="0" fillId="0" borderId="0" xfId="0" applyNumberFormat="1">
      <alignment vertical="center"/>
    </xf>
    <xf numFmtId="2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176" fontId="0" fillId="2" borderId="0" xfId="0" applyNumberFormat="1" applyFill="1">
      <alignment vertical="center"/>
    </xf>
    <xf numFmtId="0" fontId="0" fillId="2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0E58F-359A-9349-8F4A-108841C0C7B5}">
  <dimension ref="A1:G13"/>
  <sheetViews>
    <sheetView tabSelected="1" workbookViewId="0">
      <selection activeCell="D2" sqref="D2:D13"/>
    </sheetView>
  </sheetViews>
  <sheetFormatPr baseColWidth="10" defaultRowHeight="20"/>
  <sheetData>
    <row r="1" spans="1:7">
      <c r="A1" t="s">
        <v>0</v>
      </c>
      <c r="B1" t="s">
        <v>1</v>
      </c>
      <c r="C1" t="s">
        <v>21</v>
      </c>
      <c r="D1" t="s">
        <v>22</v>
      </c>
      <c r="E1" t="s">
        <v>16</v>
      </c>
      <c r="F1" t="s">
        <v>2</v>
      </c>
      <c r="G1" t="s">
        <v>3</v>
      </c>
    </row>
    <row r="2" spans="1:7">
      <c r="A2">
        <v>1</v>
      </c>
      <c r="B2" t="s">
        <v>4</v>
      </c>
      <c r="C2">
        <v>4</v>
      </c>
      <c r="D2">
        <v>0</v>
      </c>
      <c r="E2" s="1">
        <v>3</v>
      </c>
      <c r="F2">
        <v>0</v>
      </c>
      <c r="G2">
        <v>10</v>
      </c>
    </row>
    <row r="3" spans="1:7">
      <c r="A3">
        <v>2</v>
      </c>
      <c r="B3" t="s">
        <v>5</v>
      </c>
      <c r="C3">
        <v>4</v>
      </c>
      <c r="D3">
        <v>1</v>
      </c>
      <c r="E3" s="1">
        <v>3.1</v>
      </c>
      <c r="F3">
        <v>0</v>
      </c>
      <c r="G3">
        <v>11</v>
      </c>
    </row>
    <row r="4" spans="1:7">
      <c r="A4">
        <v>3</v>
      </c>
      <c r="B4" t="s">
        <v>6</v>
      </c>
      <c r="C4">
        <v>5</v>
      </c>
      <c r="D4">
        <v>1</v>
      </c>
      <c r="E4" s="1">
        <v>3.5</v>
      </c>
      <c r="F4">
        <v>0</v>
      </c>
      <c r="G4">
        <v>14</v>
      </c>
    </row>
    <row r="5" spans="1:7">
      <c r="A5">
        <v>4</v>
      </c>
      <c r="B5" t="s">
        <v>15</v>
      </c>
      <c r="C5">
        <v>6</v>
      </c>
      <c r="D5">
        <v>0</v>
      </c>
      <c r="E5" s="1">
        <v>4.3</v>
      </c>
      <c r="F5">
        <v>0</v>
      </c>
      <c r="G5">
        <v>16</v>
      </c>
    </row>
    <row r="6" spans="1:7">
      <c r="A6">
        <v>5</v>
      </c>
      <c r="B6" t="s">
        <v>7</v>
      </c>
      <c r="C6">
        <v>15</v>
      </c>
      <c r="D6">
        <v>0</v>
      </c>
      <c r="E6" s="1">
        <v>4.4000000000000004</v>
      </c>
      <c r="F6">
        <v>0</v>
      </c>
      <c r="G6">
        <v>17</v>
      </c>
    </row>
    <row r="7" spans="1:7">
      <c r="A7">
        <v>6</v>
      </c>
      <c r="B7" t="s">
        <v>8</v>
      </c>
      <c r="C7">
        <v>15</v>
      </c>
      <c r="D7">
        <v>0</v>
      </c>
      <c r="E7" s="1">
        <v>4.8</v>
      </c>
      <c r="F7">
        <v>0</v>
      </c>
      <c r="G7">
        <v>19</v>
      </c>
    </row>
    <row r="8" spans="1:7">
      <c r="A8">
        <v>7</v>
      </c>
      <c r="B8" t="s">
        <v>9</v>
      </c>
      <c r="C8">
        <v>7</v>
      </c>
      <c r="D8">
        <v>1</v>
      </c>
      <c r="E8" s="1">
        <v>5.0999999999999996</v>
      </c>
      <c r="F8">
        <v>0</v>
      </c>
      <c r="G8">
        <v>20</v>
      </c>
    </row>
    <row r="9" spans="1:7">
      <c r="A9">
        <v>8</v>
      </c>
      <c r="B9" t="s">
        <v>10</v>
      </c>
      <c r="C9">
        <v>5</v>
      </c>
      <c r="D9">
        <v>0</v>
      </c>
      <c r="E9" s="1">
        <v>3.6</v>
      </c>
      <c r="F9">
        <v>1</v>
      </c>
      <c r="G9">
        <v>8</v>
      </c>
    </row>
    <row r="10" spans="1:7">
      <c r="A10">
        <v>9</v>
      </c>
      <c r="B10" t="s">
        <v>11</v>
      </c>
      <c r="C10">
        <v>12</v>
      </c>
      <c r="D10">
        <v>1</v>
      </c>
      <c r="E10" s="1">
        <v>4.2</v>
      </c>
      <c r="F10">
        <v>1</v>
      </c>
      <c r="G10">
        <v>10</v>
      </c>
    </row>
    <row r="11" spans="1:7">
      <c r="A11">
        <v>10</v>
      </c>
      <c r="B11" t="s">
        <v>12</v>
      </c>
      <c r="C11">
        <v>13</v>
      </c>
      <c r="D11">
        <v>0</v>
      </c>
      <c r="E11" s="1">
        <v>4.5</v>
      </c>
      <c r="F11">
        <v>1</v>
      </c>
      <c r="G11">
        <v>11</v>
      </c>
    </row>
    <row r="12" spans="1:7">
      <c r="A12">
        <v>11</v>
      </c>
      <c r="B12" t="s">
        <v>13</v>
      </c>
      <c r="C12">
        <v>7</v>
      </c>
      <c r="D12">
        <v>1</v>
      </c>
      <c r="E12" s="1">
        <v>4.5999999999999996</v>
      </c>
      <c r="F12">
        <v>1</v>
      </c>
      <c r="G12">
        <v>12</v>
      </c>
    </row>
    <row r="13" spans="1:7">
      <c r="A13">
        <v>12</v>
      </c>
      <c r="B13" t="s">
        <v>14</v>
      </c>
      <c r="C13">
        <v>11</v>
      </c>
      <c r="D13">
        <v>1</v>
      </c>
      <c r="E13" s="1">
        <v>5</v>
      </c>
      <c r="F13">
        <v>1</v>
      </c>
      <c r="G13">
        <v>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BD91A-740D-C446-8FFB-CC762EF7EA4D}">
  <dimension ref="A1:O33"/>
  <sheetViews>
    <sheetView workbookViewId="0">
      <selection activeCell="D2" sqref="D2:D13"/>
    </sheetView>
  </sheetViews>
  <sheetFormatPr baseColWidth="10" defaultRowHeight="20"/>
  <cols>
    <col min="3" max="3" width="6.85546875" bestFit="1" customWidth="1"/>
    <col min="7" max="7" width="7" bestFit="1" customWidth="1"/>
    <col min="8" max="9" width="7.140625" bestFit="1" customWidth="1"/>
    <col min="13" max="13" width="8.140625" bestFit="1" customWidth="1"/>
    <col min="14" max="15" width="7.7109375" bestFit="1" customWidth="1"/>
  </cols>
  <sheetData>
    <row r="1" spans="1:15">
      <c r="A1" t="s">
        <v>0</v>
      </c>
      <c r="B1" t="s">
        <v>1</v>
      </c>
      <c r="C1" t="s">
        <v>21</v>
      </c>
      <c r="D1" t="s">
        <v>22</v>
      </c>
      <c r="E1" t="s">
        <v>16</v>
      </c>
      <c r="F1" t="s">
        <v>2</v>
      </c>
      <c r="G1" t="s">
        <v>3</v>
      </c>
      <c r="H1" t="s">
        <v>17</v>
      </c>
      <c r="I1" t="s">
        <v>18</v>
      </c>
      <c r="J1" t="s">
        <v>20</v>
      </c>
      <c r="K1" t="s">
        <v>19</v>
      </c>
      <c r="L1" t="s">
        <v>23</v>
      </c>
      <c r="M1" t="s">
        <v>24</v>
      </c>
      <c r="N1" t="s">
        <v>25</v>
      </c>
      <c r="O1" t="s">
        <v>26</v>
      </c>
    </row>
    <row r="2" spans="1:15">
      <c r="A2">
        <v>1</v>
      </c>
      <c r="B2" t="s">
        <v>4</v>
      </c>
      <c r="C2">
        <v>4</v>
      </c>
      <c r="D2">
        <v>0</v>
      </c>
      <c r="E2" s="1">
        <v>3</v>
      </c>
      <c r="F2">
        <v>0</v>
      </c>
      <c r="G2">
        <v>10</v>
      </c>
      <c r="H2">
        <f>G2</f>
        <v>10</v>
      </c>
      <c r="J2" s="1">
        <v>3</v>
      </c>
      <c r="L2">
        <f>C2</f>
        <v>4</v>
      </c>
      <c r="N2">
        <f>D2</f>
        <v>0</v>
      </c>
    </row>
    <row r="3" spans="1:15">
      <c r="A3">
        <v>2</v>
      </c>
      <c r="B3" t="s">
        <v>5</v>
      </c>
      <c r="C3">
        <v>4</v>
      </c>
      <c r="D3">
        <v>1</v>
      </c>
      <c r="E3" s="1">
        <v>3.1</v>
      </c>
      <c r="F3">
        <v>0</v>
      </c>
      <c r="G3">
        <v>11</v>
      </c>
      <c r="H3">
        <f t="shared" ref="H3:H8" si="0">G3</f>
        <v>11</v>
      </c>
      <c r="J3" s="1">
        <v>3.1</v>
      </c>
      <c r="L3">
        <f t="shared" ref="L3:L8" si="1">C3</f>
        <v>4</v>
      </c>
      <c r="N3">
        <f t="shared" ref="N3:N8" si="2">D3</f>
        <v>1</v>
      </c>
    </row>
    <row r="4" spans="1:15">
      <c r="A4">
        <v>3</v>
      </c>
      <c r="B4" t="s">
        <v>6</v>
      </c>
      <c r="C4">
        <v>5</v>
      </c>
      <c r="D4">
        <v>1</v>
      </c>
      <c r="E4" s="1">
        <v>3.5</v>
      </c>
      <c r="F4">
        <v>0</v>
      </c>
      <c r="G4">
        <v>14</v>
      </c>
      <c r="H4">
        <f t="shared" si="0"/>
        <v>14</v>
      </c>
      <c r="J4" s="1">
        <v>3.5</v>
      </c>
      <c r="L4">
        <f t="shared" si="1"/>
        <v>5</v>
      </c>
      <c r="N4">
        <f t="shared" si="2"/>
        <v>1</v>
      </c>
    </row>
    <row r="5" spans="1:15">
      <c r="A5">
        <v>4</v>
      </c>
      <c r="B5" t="s">
        <v>15</v>
      </c>
      <c r="C5">
        <v>6</v>
      </c>
      <c r="D5">
        <v>0</v>
      </c>
      <c r="E5" s="1">
        <v>4.3</v>
      </c>
      <c r="F5">
        <v>0</v>
      </c>
      <c r="G5">
        <v>16</v>
      </c>
      <c r="H5">
        <f t="shared" si="0"/>
        <v>16</v>
      </c>
      <c r="J5" s="1">
        <v>4.3</v>
      </c>
      <c r="L5">
        <f t="shared" si="1"/>
        <v>6</v>
      </c>
      <c r="N5">
        <f t="shared" si="2"/>
        <v>0</v>
      </c>
    </row>
    <row r="6" spans="1:15">
      <c r="A6">
        <v>5</v>
      </c>
      <c r="B6" t="s">
        <v>7</v>
      </c>
      <c r="C6">
        <v>15</v>
      </c>
      <c r="D6">
        <v>0</v>
      </c>
      <c r="E6" s="1">
        <v>4.4000000000000004</v>
      </c>
      <c r="F6">
        <v>0</v>
      </c>
      <c r="G6">
        <v>17</v>
      </c>
      <c r="H6">
        <f t="shared" si="0"/>
        <v>17</v>
      </c>
      <c r="J6" s="1">
        <v>4.4000000000000004</v>
      </c>
      <c r="L6">
        <f t="shared" si="1"/>
        <v>15</v>
      </c>
      <c r="N6">
        <f t="shared" si="2"/>
        <v>0</v>
      </c>
    </row>
    <row r="7" spans="1:15">
      <c r="A7">
        <v>6</v>
      </c>
      <c r="B7" t="s">
        <v>8</v>
      </c>
      <c r="C7">
        <v>15</v>
      </c>
      <c r="D7">
        <v>0</v>
      </c>
      <c r="E7" s="1">
        <v>4.8</v>
      </c>
      <c r="F7">
        <v>0</v>
      </c>
      <c r="G7">
        <v>19</v>
      </c>
      <c r="H7">
        <f t="shared" si="0"/>
        <v>19</v>
      </c>
      <c r="J7" s="1">
        <v>4.8</v>
      </c>
      <c r="L7">
        <f t="shared" si="1"/>
        <v>15</v>
      </c>
      <c r="N7">
        <f t="shared" si="2"/>
        <v>0</v>
      </c>
    </row>
    <row r="8" spans="1:15">
      <c r="A8">
        <v>7</v>
      </c>
      <c r="B8" t="s">
        <v>9</v>
      </c>
      <c r="C8">
        <v>7</v>
      </c>
      <c r="D8">
        <v>1</v>
      </c>
      <c r="E8" s="1">
        <v>5.0999999999999996</v>
      </c>
      <c r="F8">
        <v>0</v>
      </c>
      <c r="G8">
        <v>20</v>
      </c>
      <c r="H8">
        <f t="shared" si="0"/>
        <v>20</v>
      </c>
      <c r="J8" s="1">
        <v>5.0999999999999996</v>
      </c>
      <c r="L8">
        <f t="shared" si="1"/>
        <v>7</v>
      </c>
      <c r="N8">
        <f t="shared" si="2"/>
        <v>1</v>
      </c>
    </row>
    <row r="9" spans="1:15">
      <c r="A9">
        <v>8</v>
      </c>
      <c r="B9" t="s">
        <v>10</v>
      </c>
      <c r="C9">
        <v>5</v>
      </c>
      <c r="D9">
        <v>0</v>
      </c>
      <c r="E9" s="1">
        <v>3.6</v>
      </c>
      <c r="F9">
        <v>1</v>
      </c>
      <c r="G9">
        <v>8</v>
      </c>
      <c r="I9">
        <f>G9</f>
        <v>8</v>
      </c>
      <c r="K9" s="1">
        <v>3.6</v>
      </c>
      <c r="M9">
        <f>C9</f>
        <v>5</v>
      </c>
      <c r="O9">
        <f>D9</f>
        <v>0</v>
      </c>
    </row>
    <row r="10" spans="1:15">
      <c r="A10">
        <v>9</v>
      </c>
      <c r="B10" t="s">
        <v>11</v>
      </c>
      <c r="C10">
        <v>12</v>
      </c>
      <c r="D10">
        <v>1</v>
      </c>
      <c r="E10" s="1">
        <v>4.2</v>
      </c>
      <c r="F10">
        <v>1</v>
      </c>
      <c r="G10">
        <v>10</v>
      </c>
      <c r="I10">
        <f t="shared" ref="I10:I13" si="3">G10</f>
        <v>10</v>
      </c>
      <c r="K10" s="1">
        <v>4.2</v>
      </c>
      <c r="M10">
        <f t="shared" ref="M10:M13" si="4">C10</f>
        <v>12</v>
      </c>
      <c r="O10">
        <f t="shared" ref="O10:O13" si="5">D10</f>
        <v>1</v>
      </c>
    </row>
    <row r="11" spans="1:15">
      <c r="A11">
        <v>10</v>
      </c>
      <c r="B11" t="s">
        <v>12</v>
      </c>
      <c r="C11">
        <v>13</v>
      </c>
      <c r="D11">
        <v>0</v>
      </c>
      <c r="E11" s="1">
        <v>4.5</v>
      </c>
      <c r="F11">
        <v>1</v>
      </c>
      <c r="G11">
        <v>11</v>
      </c>
      <c r="I11">
        <f t="shared" si="3"/>
        <v>11</v>
      </c>
      <c r="K11" s="1">
        <v>4.5</v>
      </c>
      <c r="M11">
        <f t="shared" si="4"/>
        <v>13</v>
      </c>
      <c r="O11">
        <f t="shared" si="5"/>
        <v>0</v>
      </c>
    </row>
    <row r="12" spans="1:15">
      <c r="A12">
        <v>11</v>
      </c>
      <c r="B12" t="s">
        <v>13</v>
      </c>
      <c r="C12">
        <v>7</v>
      </c>
      <c r="D12">
        <v>1</v>
      </c>
      <c r="E12" s="1">
        <v>4.5999999999999996</v>
      </c>
      <c r="F12">
        <v>1</v>
      </c>
      <c r="G12">
        <v>12</v>
      </c>
      <c r="I12">
        <f t="shared" si="3"/>
        <v>12</v>
      </c>
      <c r="K12" s="1">
        <v>4.5999999999999996</v>
      </c>
      <c r="M12">
        <f t="shared" si="4"/>
        <v>7</v>
      </c>
      <c r="O12">
        <f t="shared" si="5"/>
        <v>1</v>
      </c>
    </row>
    <row r="13" spans="1:15">
      <c r="A13">
        <v>12</v>
      </c>
      <c r="B13" t="s">
        <v>14</v>
      </c>
      <c r="C13">
        <v>11</v>
      </c>
      <c r="D13">
        <v>1</v>
      </c>
      <c r="E13" s="1">
        <v>5</v>
      </c>
      <c r="F13">
        <v>1</v>
      </c>
      <c r="G13">
        <v>9</v>
      </c>
      <c r="I13">
        <f t="shared" si="3"/>
        <v>9</v>
      </c>
      <c r="K13" s="1">
        <v>5</v>
      </c>
      <c r="M13">
        <f t="shared" si="4"/>
        <v>11</v>
      </c>
      <c r="O13">
        <f t="shared" si="5"/>
        <v>1</v>
      </c>
    </row>
    <row r="14" spans="1:15">
      <c r="C14" s="3">
        <f t="shared" ref="C14" si="6">AVERAGE(C2:C13)</f>
        <v>8.6666666666666661</v>
      </c>
      <c r="D14" s="3"/>
      <c r="E14" s="3">
        <f>AVERAGE(E2:E13)</f>
        <v>4.1749999999999998</v>
      </c>
      <c r="F14" s="3"/>
      <c r="G14" s="3">
        <f t="shared" ref="G14" si="7">AVERAGE(G2:G13)</f>
        <v>13.083333333333334</v>
      </c>
      <c r="H14" s="2">
        <f t="shared" ref="H14" si="8">AVERAGE(H2:H13)</f>
        <v>15.285714285714286</v>
      </c>
      <c r="I14" s="2">
        <f t="shared" ref="I14" si="9">AVERAGE(I2:I13)</f>
        <v>10</v>
      </c>
      <c r="J14" s="4">
        <f t="shared" ref="J14" si="10">AVERAGE(J2:J13)</f>
        <v>4.0285714285714276</v>
      </c>
      <c r="K14" s="4">
        <f t="shared" ref="K14:O14" si="11">AVERAGE(K2:K13)</f>
        <v>4.38</v>
      </c>
      <c r="L14" s="4">
        <f t="shared" si="11"/>
        <v>8</v>
      </c>
      <c r="M14" s="4">
        <f t="shared" si="11"/>
        <v>9.6</v>
      </c>
      <c r="N14" s="2">
        <f t="shared" si="11"/>
        <v>0.42857142857142855</v>
      </c>
      <c r="O14" s="2">
        <f t="shared" si="11"/>
        <v>0.6</v>
      </c>
    </row>
    <row r="15" spans="1:15">
      <c r="I15" s="5">
        <f>H14-I14</f>
        <v>5.2857142857142865</v>
      </c>
      <c r="K15" s="5">
        <f>J14-K14</f>
        <v>-0.35142857142857231</v>
      </c>
      <c r="M15" s="5">
        <f>L14-M14</f>
        <v>-1.5999999999999996</v>
      </c>
      <c r="O15" s="5">
        <f>N14-O14</f>
        <v>-0.17142857142857143</v>
      </c>
    </row>
    <row r="17" spans="1:8">
      <c r="A17">
        <v>8</v>
      </c>
      <c r="B17" t="s">
        <v>10</v>
      </c>
      <c r="C17" s="1">
        <v>3.6</v>
      </c>
      <c r="D17">
        <v>1</v>
      </c>
      <c r="E17">
        <v>9</v>
      </c>
    </row>
    <row r="18" spans="1:8">
      <c r="A18">
        <v>3</v>
      </c>
      <c r="B18" t="s">
        <v>6</v>
      </c>
      <c r="C18" s="1">
        <v>3.5</v>
      </c>
      <c r="D18">
        <v>0</v>
      </c>
      <c r="E18">
        <v>13</v>
      </c>
      <c r="H18" s="1"/>
    </row>
    <row r="19" spans="1:8">
      <c r="C19" s="6">
        <f>C17-C18</f>
        <v>0.10000000000000009</v>
      </c>
      <c r="D19" s="7"/>
      <c r="E19" s="7">
        <f>E17-E18</f>
        <v>-4</v>
      </c>
    </row>
    <row r="20" spans="1:8">
      <c r="A20">
        <v>9</v>
      </c>
      <c r="B20" t="s">
        <v>11</v>
      </c>
      <c r="C20" s="1">
        <v>4.2</v>
      </c>
      <c r="D20">
        <v>1</v>
      </c>
      <c r="E20">
        <v>12</v>
      </c>
    </row>
    <row r="21" spans="1:8">
      <c r="A21">
        <v>4</v>
      </c>
      <c r="B21" t="s">
        <v>15</v>
      </c>
      <c r="C21" s="1">
        <v>4.3</v>
      </c>
      <c r="D21">
        <v>0</v>
      </c>
      <c r="E21">
        <v>16</v>
      </c>
    </row>
    <row r="22" spans="1:8">
      <c r="C22" s="6">
        <f>C20-C21</f>
        <v>-9.9999999999999645E-2</v>
      </c>
      <c r="D22" s="7"/>
      <c r="E22" s="7">
        <f>E20-E21</f>
        <v>-4</v>
      </c>
    </row>
    <row r="23" spans="1:8">
      <c r="A23">
        <v>10</v>
      </c>
      <c r="B23" t="s">
        <v>12</v>
      </c>
      <c r="C23" s="1">
        <v>4.5</v>
      </c>
      <c r="D23">
        <v>1</v>
      </c>
      <c r="E23">
        <v>13</v>
      </c>
    </row>
    <row r="24" spans="1:8">
      <c r="A24">
        <v>5</v>
      </c>
      <c r="B24" t="s">
        <v>7</v>
      </c>
      <c r="C24" s="1">
        <v>4.4000000000000004</v>
      </c>
      <c r="D24">
        <v>0</v>
      </c>
      <c r="E24">
        <v>17</v>
      </c>
    </row>
    <row r="25" spans="1:8">
      <c r="C25" s="6">
        <f>C23-C24</f>
        <v>9.9999999999999645E-2</v>
      </c>
      <c r="D25" s="7"/>
      <c r="E25" s="7">
        <f>E23-E24</f>
        <v>-4</v>
      </c>
    </row>
    <row r="26" spans="1:8">
      <c r="A26">
        <v>11</v>
      </c>
      <c r="B26" t="s">
        <v>13</v>
      </c>
      <c r="C26" s="1">
        <v>4.5999999999999996</v>
      </c>
      <c r="D26">
        <v>1</v>
      </c>
      <c r="E26">
        <v>14</v>
      </c>
    </row>
    <row r="27" spans="1:8">
      <c r="A27">
        <v>6</v>
      </c>
      <c r="B27" t="s">
        <v>8</v>
      </c>
      <c r="C27" s="1">
        <v>4.8</v>
      </c>
      <c r="D27">
        <v>0</v>
      </c>
      <c r="E27">
        <v>19</v>
      </c>
    </row>
    <row r="28" spans="1:8">
      <c r="C28" s="6">
        <f>C26-C27</f>
        <v>-0.20000000000000018</v>
      </c>
      <c r="D28" s="7"/>
      <c r="E28" s="7">
        <f>E26-E27</f>
        <v>-5</v>
      </c>
    </row>
    <row r="29" spans="1:8">
      <c r="A29">
        <v>12</v>
      </c>
      <c r="B29" t="s">
        <v>14</v>
      </c>
      <c r="C29" s="1">
        <v>5</v>
      </c>
      <c r="D29">
        <v>1</v>
      </c>
      <c r="E29">
        <v>16</v>
      </c>
    </row>
    <row r="30" spans="1:8">
      <c r="A30">
        <v>7</v>
      </c>
      <c r="B30" t="s">
        <v>9</v>
      </c>
      <c r="C30" s="1">
        <v>5.0999999999999996</v>
      </c>
      <c r="D30">
        <v>0</v>
      </c>
      <c r="E30">
        <v>20</v>
      </c>
    </row>
    <row r="31" spans="1:8">
      <c r="C31" s="6">
        <f>C29-C30</f>
        <v>-9.9999999999999645E-2</v>
      </c>
      <c r="D31" s="7"/>
      <c r="E31" s="7">
        <f>E29-E30</f>
        <v>-4</v>
      </c>
    </row>
    <row r="33" spans="3:5">
      <c r="C33" s="2">
        <f>AVERAGE(C19,C22,C25,C28,C31)</f>
        <v>-3.9999999999999945E-2</v>
      </c>
      <c r="E33">
        <f>AVERAGE(E19,E22,E25,E28,E31)</f>
        <v>-4.2</v>
      </c>
    </row>
  </sheetData>
  <autoFilter ref="A1:K1" xr:uid="{415BD91A-740D-C446-8FFB-CC762EF7EA4D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nakane naruhisa</dc:creator>
  <cp:lastModifiedBy>nakane naruhisa</cp:lastModifiedBy>
  <dcterms:created xsi:type="dcterms:W3CDTF">2024-05-23T10:48:17Z</dcterms:created>
  <dcterms:modified xsi:type="dcterms:W3CDTF">2024-05-26T00:50:10Z</dcterms:modified>
</cp:coreProperties>
</file>